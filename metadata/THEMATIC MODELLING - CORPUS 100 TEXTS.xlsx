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5"/>
  </sheets>
  <definedNames/>
  <calcPr/>
</workbook>
</file>

<file path=xl/sharedStrings.xml><?xml version="1.0" encoding="utf-8"?>
<sst xmlns="http://schemas.openxmlformats.org/spreadsheetml/2006/main" count="1287" uniqueCount="729">
  <si>
    <t>shame_id</t>
  </si>
  <si>
    <t>shame_num</t>
  </si>
  <si>
    <t>shame_id_old</t>
  </si>
  <si>
    <t>original_id</t>
  </si>
  <si>
    <t>author_and_title</t>
  </si>
  <si>
    <t>author</t>
  </si>
  <si>
    <t>author_fname</t>
  </si>
  <si>
    <t>author_lname</t>
  </si>
  <si>
    <t>time_period</t>
  </si>
  <si>
    <t>author_gender</t>
  </si>
  <si>
    <t>title</t>
  </si>
  <si>
    <t>exclude</t>
  </si>
  <si>
    <t>word_count</t>
  </si>
  <si>
    <t>publ_year</t>
  </si>
  <si>
    <t>publ_year_clean</t>
  </si>
  <si>
    <t>doc_link</t>
  </si>
  <si>
    <t>source_corpus</t>
  </si>
  <si>
    <t>SHAME_001</t>
  </si>
  <si>
    <t>SHAME_1</t>
  </si>
  <si>
    <t>KDSP199</t>
  </si>
  <si>
    <t>Albin</t>
  </si>
  <si>
    <t>Prepeluh</t>
  </si>
  <si>
    <t>M</t>
  </si>
  <si>
    <t>Mina</t>
  </si>
  <si>
    <t>No, keep</t>
  </si>
  <si>
    <t>https://github.com/COST-ELTeC/ELTeC-slv/blob/v0.7.1/level1/SLV10022.xml</t>
  </si>
  <si>
    <t>KDSP</t>
  </si>
  <si>
    <t>SHAME_002</t>
  </si>
  <si>
    <t>SHAME_2</t>
  </si>
  <si>
    <t>KDSP234</t>
  </si>
  <si>
    <t>Alojz</t>
  </si>
  <si>
    <t>Kraigher</t>
  </si>
  <si>
    <t>Kontrolor Škrobar</t>
  </si>
  <si>
    <t>https://www.dlib.si/details/URN:NBN:SI:DOC-KCBULTUI</t>
  </si>
  <si>
    <t>SHAME_003</t>
  </si>
  <si>
    <t>SHAME_3</t>
  </si>
  <si>
    <t>KDSP254</t>
  </si>
  <si>
    <t>Mlada ljubezen</t>
  </si>
  <si>
    <t>https://github.com/COST-ELTeC/ELTeC-slv/blob/v0.7.1/level1/SLV00355.xml</t>
  </si>
  <si>
    <t>SHAME_004</t>
  </si>
  <si>
    <t>SHAME_5</t>
  </si>
  <si>
    <t>KDSP227</t>
  </si>
  <si>
    <t>Alojzij</t>
  </si>
  <si>
    <t>Kokalj</t>
  </si>
  <si>
    <t>Cerkvene miši</t>
  </si>
  <si>
    <t>https://sl.wikisource.org/wiki/Cerkvene_mi%C5%A1i</t>
  </si>
  <si>
    <t>SHAME_005</t>
  </si>
  <si>
    <t>SHAME_6</t>
  </si>
  <si>
    <t>KDSP185</t>
  </si>
  <si>
    <t>Remec</t>
  </si>
  <si>
    <t>Veliki punt</t>
  </si>
  <si>
    <t>https://www.dlib.si/details/URN:NBN:SI:DOC-WAIJ1NXL</t>
  </si>
  <si>
    <t>SHAME_006</t>
  </si>
  <si>
    <t>SHAME_7</t>
  </si>
  <si>
    <t>KDSP202</t>
  </si>
  <si>
    <t>Andrej</t>
  </si>
  <si>
    <t>Budal</t>
  </si>
  <si>
    <t>Križev pot Petra Kupljenika</t>
  </si>
  <si>
    <t>https://sl.wikisource.org/wiki/Kri%C5%BEev_pot_Petra_Kupljenika</t>
  </si>
  <si>
    <t>SHAME_007</t>
  </si>
  <si>
    <t>SHAME_278</t>
  </si>
  <si>
    <t>KDSP170</t>
  </si>
  <si>
    <t>Anonimno</t>
  </si>
  <si>
    <t>unknown</t>
  </si>
  <si>
    <t>Ada</t>
  </si>
  <si>
    <t xml:space="preserve">https://sl.wikisource.org/wiki/Ada_(Slovenski_narod) </t>
  </si>
  <si>
    <t>SHAME_010</t>
  </si>
  <si>
    <t>SHAME_283</t>
  </si>
  <si>
    <t>KDSP251</t>
  </si>
  <si>
    <t>Odlomki iz dnevnika</t>
  </si>
  <si>
    <t>https://sl.wikisource.org/wiki/Odlomki_iz_dnevnika_(Slovenec)</t>
  </si>
  <si>
    <t>SHAME_011</t>
  </si>
  <si>
    <t>SHAME_284</t>
  </si>
  <si>
    <t/>
  </si>
  <si>
    <t>Poštena Bohinčeka v Benetkah</t>
  </si>
  <si>
    <t>https://lit.ijs.si/bohinceka.html</t>
  </si>
  <si>
    <r>
      <rPr>
        <rFont val="Arial"/>
        <color rgb="FF1155CC"/>
        <u/>
      </rPr>
      <t>Wikivir</t>
    </r>
    <r>
      <rPr>
        <rFont val="Arial"/>
      </rPr>
      <t xml:space="preserve"> - </t>
    </r>
    <r>
      <rPr>
        <rFont val="Arial"/>
        <color rgb="FF1155CC"/>
        <u/>
      </rPr>
      <t>leposlovje</t>
    </r>
  </si>
  <si>
    <t>SHAME_012</t>
  </si>
  <si>
    <t>SHAME_286</t>
  </si>
  <si>
    <t>KDSP201</t>
  </si>
  <si>
    <t>Vihar</t>
  </si>
  <si>
    <t>https://sl.wikisource.org/wiki/Vihar_(Slovenec)</t>
  </si>
  <si>
    <t>SHAME_013</t>
  </si>
  <si>
    <t>SHAME_8</t>
  </si>
  <si>
    <t>KDSP036</t>
  </si>
  <si>
    <t>Anton</t>
  </si>
  <si>
    <t>Bartel</t>
  </si>
  <si>
    <t>Pomladanski vetrovi</t>
  </si>
  <si>
    <t>https://github.com/COST-ELTeC/ELTeC-slv/blob/v0.7.1/level1/SLV00094.xml</t>
  </si>
  <si>
    <t>SHAME_014</t>
  </si>
  <si>
    <t>SHAME_9</t>
  </si>
  <si>
    <t>KDSP056</t>
  </si>
  <si>
    <t>Funtek</t>
  </si>
  <si>
    <t>Iz spominov mlade žene</t>
  </si>
  <si>
    <t>https://sl.wikisource.org/wiki/Iz_spominov_mlade_%C5%BEene</t>
  </si>
  <si>
    <t>SHAME_017</t>
  </si>
  <si>
    <t>SHAME_12</t>
  </si>
  <si>
    <t>KDSP029</t>
  </si>
  <si>
    <t>Koder</t>
  </si>
  <si>
    <t>Marjetica</t>
  </si>
  <si>
    <t>https://github.com/COST-ELTeC/ELTeC-slv/blob/v0.7.1/level1/SLV00099.xml</t>
  </si>
  <si>
    <t>SHAME_020</t>
  </si>
  <si>
    <t>SHAME_15</t>
  </si>
  <si>
    <t>KDSP041</t>
  </si>
  <si>
    <t>Zvezdana</t>
  </si>
  <si>
    <t>https://github.com/COST-ELTeC/ELTeC-slv/blob/v0.7.1/level1/SLV00103.xml</t>
  </si>
  <si>
    <t>SHAME_021</t>
  </si>
  <si>
    <t>SHAME_16</t>
  </si>
  <si>
    <t>KDSP050</t>
  </si>
  <si>
    <t>Mahnič</t>
  </si>
  <si>
    <t>Zadnji samotar</t>
  </si>
  <si>
    <t>https://github.com/COST-ELTeC/ELTeC-slv/blob/v0.7.1/level1/SLV10016.xml</t>
  </si>
  <si>
    <t>SHAME_022</t>
  </si>
  <si>
    <t>SHAME_18</t>
  </si>
  <si>
    <t>Franklin_PravaPot1812</t>
  </si>
  <si>
    <t>Benjamin</t>
  </si>
  <si>
    <t>Franklin</t>
  </si>
  <si>
    <t>Prava pot k dobrimu stanu ali ena beseda ob pravim časi</t>
  </si>
  <si>
    <t>n/a</t>
  </si>
  <si>
    <t>PriLit</t>
  </si>
  <si>
    <t>SHAME_023</t>
  </si>
  <si>
    <t>SHAME_25</t>
  </si>
  <si>
    <t>KDSP214</t>
  </si>
  <si>
    <t>Emil</t>
  </si>
  <si>
    <t>Vodeb</t>
  </si>
  <si>
    <t>Libera nos a malo</t>
  </si>
  <si>
    <t>https://github.com/COST-ELTeC/ELTeC-slv/blob/v0.7.1/level1/SLV10027.xml</t>
  </si>
  <si>
    <t>SHAME_024</t>
  </si>
  <si>
    <t>SHAME_26</t>
  </si>
  <si>
    <t>KDSP190</t>
  </si>
  <si>
    <t>Engelbert</t>
  </si>
  <si>
    <t>Gangl</t>
  </si>
  <si>
    <t>Trije rodovi</t>
  </si>
  <si>
    <t>https://www.dlib.si/details/URN:NBN:SI:DOC-JSHV4SVQ</t>
  </si>
  <si>
    <t>SHAME_025</t>
  </si>
  <si>
    <t>SHAME_27</t>
  </si>
  <si>
    <t>KDSP119</t>
  </si>
  <si>
    <t>Veliki trgovec</t>
  </si>
  <si>
    <t>https://sl.wikisource.org/wiki/Veliki_trgovec</t>
  </si>
  <si>
    <t>SHAME_026</t>
  </si>
  <si>
    <t>SHAME_28</t>
  </si>
  <si>
    <t>KDSP235</t>
  </si>
  <si>
    <t>Etbin</t>
  </si>
  <si>
    <t>Kristan</t>
  </si>
  <si>
    <t>Pertinčarjevo pomlajenje</t>
  </si>
  <si>
    <t>https://www.dlib.si/details/URN:NBN:SI:DOC-GVQ6VTKK</t>
  </si>
  <si>
    <t>SHAME_027</t>
  </si>
  <si>
    <t>SHAME_29</t>
  </si>
  <si>
    <t>KDSP192</t>
  </si>
  <si>
    <t>Savičev pesimizem</t>
  </si>
  <si>
    <t>https://www.dlib.si/details/URN:NBN:SI:DOC-CCHHHB3I</t>
  </si>
  <si>
    <t>SHAME_028</t>
  </si>
  <si>
    <t>SHAME_30</t>
  </si>
  <si>
    <t>KDSP207</t>
  </si>
  <si>
    <t>Fedor</t>
  </si>
  <si>
    <t>Gradišnik</t>
  </si>
  <si>
    <t>Institutka</t>
  </si>
  <si>
    <t>https://www.dlib.si/details/URN:NBN:SI:DOC-IWR2QMON</t>
  </si>
  <si>
    <t>SHAME_029</t>
  </si>
  <si>
    <t>SHAME_31</t>
  </si>
  <si>
    <t>KDSP002</t>
  </si>
  <si>
    <t>Ferdo</t>
  </si>
  <si>
    <t>Kočevar</t>
  </si>
  <si>
    <t>Mlinarjev Janez</t>
  </si>
  <si>
    <t>https://github.com/COST-ELTeC/ELTeC-slv/blob/v0.7.1/level1/SLV20001.xml</t>
  </si>
  <si>
    <t>SHAME_032</t>
  </si>
  <si>
    <t>SHAME_34</t>
  </si>
  <si>
    <t>KDSP038</t>
  </si>
  <si>
    <t>Fran</t>
  </si>
  <si>
    <t>Detela</t>
  </si>
  <si>
    <t>Malo življenje</t>
  </si>
  <si>
    <t>https://github.com/COST-ELTeC/ELTeC-slv/blob/v0.7.1/level1/SLV00363.xml</t>
  </si>
  <si>
    <t>SHAME_033</t>
  </si>
  <si>
    <t>SHAME_35</t>
  </si>
  <si>
    <t>KDSP173</t>
  </si>
  <si>
    <t>Novo življenje</t>
  </si>
  <si>
    <t>https://github.com/COST-ELTeC/ELTeC-slv/blob/v0.7.1/level1/SLV00364.xml</t>
  </si>
  <si>
    <t>SHAME_043</t>
  </si>
  <si>
    <t>SHAME_54</t>
  </si>
  <si>
    <t>KDSP092</t>
  </si>
  <si>
    <t>Govekar</t>
  </si>
  <si>
    <t>Ljubezen in rodoljubje</t>
  </si>
  <si>
    <t>https://sl.wikisource.org/wiki/Ljubezen_in_rodoljubje</t>
  </si>
  <si>
    <t>SHAME_044</t>
  </si>
  <si>
    <t>SHAME_55</t>
  </si>
  <si>
    <t>SLV10030</t>
  </si>
  <si>
    <t>Svitanje</t>
  </si>
  <si>
    <r>
      <rPr>
        <rFont val="Arial"/>
        <color rgb="FF1155CC"/>
        <u/>
      </rPr>
      <t>ELTeC</t>
    </r>
  </si>
  <si>
    <t>SHAME_047</t>
  </si>
  <si>
    <t>SHAME_58</t>
  </si>
  <si>
    <t>KDSP084</t>
  </si>
  <si>
    <t>Jaklič</t>
  </si>
  <si>
    <t>Lepi Tonček</t>
  </si>
  <si>
    <t>https://sl.wikisource.org/wiki/Lepi_Ton%C4%8Dek</t>
  </si>
  <si>
    <t>SHAME_049</t>
  </si>
  <si>
    <t>SHAME_60</t>
  </si>
  <si>
    <t>KDSP065</t>
  </si>
  <si>
    <t>Luka Vrbec</t>
  </si>
  <si>
    <t>https://sl.wikisource.org/wiki/Luka_Vrbec</t>
  </si>
  <si>
    <t>SHAME_052</t>
  </si>
  <si>
    <t>SHAME_64</t>
  </si>
  <si>
    <t>KDSP103</t>
  </si>
  <si>
    <t>Knaflič</t>
  </si>
  <si>
    <t>Ob Balkanu</t>
  </si>
  <si>
    <t>https://sl.wikisource.org/wiki/Ob_Balkanu</t>
  </si>
  <si>
    <t>SHAME_054</t>
  </si>
  <si>
    <t>SHAME_303</t>
  </si>
  <si>
    <t>KDSP230</t>
  </si>
  <si>
    <t>Maselj Podlimbarski</t>
  </si>
  <si>
    <t>Gospodin Franjo</t>
  </si>
  <si>
    <t>https://github.com/COST-ELTeC/ELTeC-slv/blob/v0.7.1/level1/SLV10018.xml</t>
  </si>
  <si>
    <t>SHAME_057</t>
  </si>
  <si>
    <t>SHAME_306</t>
  </si>
  <si>
    <t>KDSP183</t>
  </si>
  <si>
    <t>Povest Ivana Polaja</t>
  </si>
  <si>
    <t>https://sl.wikisource.org/wiki/Povest_Ivana_Polaja</t>
  </si>
  <si>
    <t>SHAME_058</t>
  </si>
  <si>
    <t>SHAME_72</t>
  </si>
  <si>
    <t>KDSP247</t>
  </si>
  <si>
    <t>Milčinski</t>
  </si>
  <si>
    <t>Gospodična Mici</t>
  </si>
  <si>
    <t>https://sl.wikisource.org/wiki/Gospodi%C4%8Dna_Mici</t>
  </si>
  <si>
    <t>SHAME_059</t>
  </si>
  <si>
    <t>SHAME_73</t>
  </si>
  <si>
    <t>KDSP260</t>
  </si>
  <si>
    <t>Ptički brez gnezda</t>
  </si>
  <si>
    <t>https://github.com/COST-ELTeC/ELTeC-slv/blob/v0.7.1/level1/SLV10019.xml</t>
  </si>
  <si>
    <t>SHAME_060</t>
  </si>
  <si>
    <t>SHAME_45</t>
  </si>
  <si>
    <t>KDSP226</t>
  </si>
  <si>
    <t>Saleški Finžgar</t>
  </si>
  <si>
    <t>Dekla Ančka</t>
  </si>
  <si>
    <t>https://sl.wikisource.org/wiki/Dekla_An%C4%8Dka</t>
  </si>
  <si>
    <t>SHAME_064</t>
  </si>
  <si>
    <t>SHAME_51</t>
  </si>
  <si>
    <t>KDSP221</t>
  </si>
  <si>
    <t>Sama</t>
  </si>
  <si>
    <t>https://github.com/COST-ELTeC/ELTeC-slv/blob/v0.7.1/level1/SLV00498.xml</t>
  </si>
  <si>
    <t>SHAME_068</t>
  </si>
  <si>
    <t>SHAME_76</t>
  </si>
  <si>
    <t>KDSP186</t>
  </si>
  <si>
    <t>Zbašnik</t>
  </si>
  <si>
    <t>Pisana mati</t>
  </si>
  <si>
    <t>https://github.com/COST-ELTeC/ELTeC-slv/blob/v0.7.1/level1/SLV00391.xml</t>
  </si>
  <si>
    <t>SHAME_069</t>
  </si>
  <si>
    <t>SHAME_77</t>
  </si>
  <si>
    <t>KDSP140</t>
  </si>
  <si>
    <t>Prijateljstvo in ljubezen</t>
  </si>
  <si>
    <t>https://sl.wikisource.org/wiki/Prijateljstvo_in_ljubezen</t>
  </si>
  <si>
    <t>SHAME_073</t>
  </si>
  <si>
    <t>SHAME_82</t>
  </si>
  <si>
    <t>KDSP164</t>
  </si>
  <si>
    <t>Franc</t>
  </si>
  <si>
    <t>Ksaver Meško</t>
  </si>
  <si>
    <t>Na Poljani</t>
  </si>
  <si>
    <t>https://www.dlib.si/details/URN:NBN:SI:DOC-3RCE94D0</t>
  </si>
  <si>
    <t>SHAME_074</t>
  </si>
  <si>
    <t>SHAME_83</t>
  </si>
  <si>
    <t>KDSP177</t>
  </si>
  <si>
    <t>Rant</t>
  </si>
  <si>
    <t>Na rodnih tleh</t>
  </si>
  <si>
    <t>https://sl.wikisource.org/wiki/Na_rodnih_tleh</t>
  </si>
  <si>
    <t>SHAME_075</t>
  </si>
  <si>
    <t>SHAME_84</t>
  </si>
  <si>
    <t>KDSP016</t>
  </si>
  <si>
    <t>Slemenik</t>
  </si>
  <si>
    <t>Izdajavec</t>
  </si>
  <si>
    <t>https://sl.wikisource.org/wiki/Izdajavec</t>
  </si>
  <si>
    <t>SHAME_076</t>
  </si>
  <si>
    <t>SHAME_85</t>
  </si>
  <si>
    <t>KDSP031</t>
  </si>
  <si>
    <t>Križem sveta</t>
  </si>
  <si>
    <t>https://sl.wikisource.org/wiki/Kri%C5%BEem_sveta</t>
  </si>
  <si>
    <t>SHAME_079</t>
  </si>
  <si>
    <t>France</t>
  </si>
  <si>
    <t>Bevk</t>
  </si>
  <si>
    <t>Človek brez krinke</t>
  </si>
  <si>
    <t>Add import</t>
  </si>
  <si>
    <t xml:space="preserve">https://sl.wikisource.org/wiki/Človek_brez_krinke </t>
  </si>
  <si>
    <t>Wikisource</t>
  </si>
  <si>
    <t>SHAME_080</t>
  </si>
  <si>
    <t>Povest male Dore</t>
  </si>
  <si>
    <t>https://sl.wikisource.org/wiki/Povest_male_Dore</t>
  </si>
  <si>
    <t>SHAME_083</t>
  </si>
  <si>
    <t>SHAME_92</t>
  </si>
  <si>
    <t>KDSP132</t>
  </si>
  <si>
    <t>Ivan</t>
  </si>
  <si>
    <t>Cankar</t>
  </si>
  <si>
    <t>Gospa Judit</t>
  </si>
  <si>
    <t>https://sl.wikisource.org/wiki/Gospa_Judit</t>
  </si>
  <si>
    <t>SHAME_094</t>
  </si>
  <si>
    <t>SHAME_98</t>
  </si>
  <si>
    <t>KDSP224</t>
  </si>
  <si>
    <t>Milan in Milena</t>
  </si>
  <si>
    <t>https://sl.wikisource.org/wiki/Milan_in_Milena</t>
  </si>
  <si>
    <t>SHAME_111</t>
  </si>
  <si>
    <t>SHAME_106</t>
  </si>
  <si>
    <t>Zgodba o dveh mladih ljudeh</t>
  </si>
  <si>
    <r>
      <rPr>
        <rFont val="Arial"/>
        <color rgb="FF1155CC"/>
        <u/>
      </rPr>
      <t>https://lit.ijs.si/troje1.html</t>
    </r>
    <r>
      <rPr>
        <rFont val="Arial"/>
      </rPr>
      <t xml:space="preserve"> </t>
    </r>
  </si>
  <si>
    <r>
      <rPr>
        <rFont val="Arial"/>
        <color rgb="FF1155CC"/>
        <u/>
      </rPr>
      <t>Wikivir</t>
    </r>
    <r>
      <rPr>
        <rFont val="Arial"/>
      </rPr>
      <t xml:space="preserve"> - </t>
    </r>
    <r>
      <rPr>
        <rFont val="Arial"/>
        <color rgb="FF1155CC"/>
        <u/>
      </rPr>
      <t>leposlovje</t>
    </r>
  </si>
  <si>
    <t>SHAME_116</t>
  </si>
  <si>
    <t>SHAME_110</t>
  </si>
  <si>
    <t>KDSP142</t>
  </si>
  <si>
    <t>Fajdiga</t>
  </si>
  <si>
    <t>Nebesa</t>
  </si>
  <si>
    <t>https://github.com/COST-ELTeC/ELTeC-slv/blob/v0.7.1/level1/SLV10004.xml</t>
  </si>
  <si>
    <t>SHAME_117</t>
  </si>
  <si>
    <t>KDSP079</t>
  </si>
  <si>
    <t>Janežič-Kraljev</t>
  </si>
  <si>
    <t>Gospa s pristave</t>
  </si>
  <si>
    <t>https://github.com/COST-ELTeC/ELTeC-slv/blob/v0.7.1/level1/SLV00135.xml</t>
  </si>
  <si>
    <t>SHAME_119</t>
  </si>
  <si>
    <t>SHAME_113</t>
  </si>
  <si>
    <t>KDSP152</t>
  </si>
  <si>
    <t>Lah</t>
  </si>
  <si>
    <t>Iz časov romantike</t>
  </si>
  <si>
    <t>https://sl.wikisource.org/wiki/Iz_%C4%8Dasov_romantike</t>
  </si>
  <si>
    <t>SHAME_122</t>
  </si>
  <si>
    <t>KDSP231</t>
  </si>
  <si>
    <t>Pregelj</t>
  </si>
  <si>
    <t>Mlada Breda</t>
  </si>
  <si>
    <t>https://sl.wikisource.org/wiki/Mlada_Breda_(Ivan_Pregelj)</t>
  </si>
  <si>
    <t>SHAME_130</t>
  </si>
  <si>
    <t>SHAME_128</t>
  </si>
  <si>
    <t>KDSP258</t>
  </si>
  <si>
    <t>Tavčar</t>
  </si>
  <si>
    <t>Cvetje v jeseni</t>
  </si>
  <si>
    <t>https://github.com/COST-ELTeC/ELTeC-slv/blob/v0.7.1/level1/SLV00324.xml</t>
  </si>
  <si>
    <t>SHAME_133</t>
  </si>
  <si>
    <t>SHAME_131</t>
  </si>
  <si>
    <t>KDSP055</t>
  </si>
  <si>
    <t>Janez Solnce</t>
  </si>
  <si>
    <t>https://sl.wikisource.org/wiki/Janez_Solnce</t>
  </si>
  <si>
    <t>SHAME_137</t>
  </si>
  <si>
    <t>KDSP233</t>
  </si>
  <si>
    <t>Vuk</t>
  </si>
  <si>
    <t>Zorislava</t>
  </si>
  <si>
    <t>https://www.dlib.si/details/URN:NBN:SI:DOC-QQQSKCVY</t>
  </si>
  <si>
    <t>SHAME_141</t>
  </si>
  <si>
    <t>Ivo</t>
  </si>
  <si>
    <t>Šorli</t>
  </si>
  <si>
    <t>Gospa Silvija</t>
  </si>
  <si>
    <t>https://sl.wikisource.org/wiki/Gospa_Silvija</t>
  </si>
  <si>
    <t>SHAME_144</t>
  </si>
  <si>
    <t>SHAME_143</t>
  </si>
  <si>
    <t>KDSP148</t>
  </si>
  <si>
    <t>Plameni</t>
  </si>
  <si>
    <t>https://www.dlib.si/details/URN:NBN:SI:DOC-ABDY26Q9</t>
  </si>
  <si>
    <t>SHAME_146</t>
  </si>
  <si>
    <t>SHAME_145</t>
  </si>
  <si>
    <t>KDSP157</t>
  </si>
  <si>
    <t>Romantiki življenja</t>
  </si>
  <si>
    <t>https://sl.wikisource.org/wiki/Romantiki_%C5%BEivljenja</t>
  </si>
  <si>
    <t>SHAME_152</t>
  </si>
  <si>
    <t>SHAME_151</t>
  </si>
  <si>
    <t>KDSP149</t>
  </si>
  <si>
    <t>Trošt</t>
  </si>
  <si>
    <t>V srca globini</t>
  </si>
  <si>
    <t>https://www.dlib.si/details/URN:NBN:SI:DOC-UNW4AEPK</t>
  </si>
  <si>
    <t>SHAME_155</t>
  </si>
  <si>
    <t>Jakob</t>
  </si>
  <si>
    <t>Alešovec</t>
  </si>
  <si>
    <t>Kako sem se jaz likal</t>
  </si>
  <si>
    <t>https://sl.wikisource.org/wiki/Kako_sem_se_jaz_likal</t>
  </si>
  <si>
    <t>SHAME_157</t>
  </si>
  <si>
    <t>SHAME_156</t>
  </si>
  <si>
    <t>KDSP039</t>
  </si>
  <si>
    <t>Ne v Ameriko!</t>
  </si>
  <si>
    <t>https://sl.wikisource.org/wiki/Ne_v_Ameriko</t>
  </si>
  <si>
    <t>SHAME_161</t>
  </si>
  <si>
    <t>SHAME_160</t>
  </si>
  <si>
    <t>KDSP047</t>
  </si>
  <si>
    <t>Sket</t>
  </si>
  <si>
    <t>Miklova Zala</t>
  </si>
  <si>
    <t>https://github.com/COST-ELTeC/ELTeC-slv/blob/v0.7.1/level1/SLV20002.xml</t>
  </si>
  <si>
    <t>SHAME_162</t>
  </si>
  <si>
    <t>KDSP044</t>
  </si>
  <si>
    <t>Milko Vogrin</t>
  </si>
  <si>
    <t>https://github.com/COST-ELTeC/ELTeC-slv/blob/v0.7.1/level1/SLV00172.xml</t>
  </si>
  <si>
    <t>SHAME_169</t>
  </si>
  <si>
    <t>SHAME_170</t>
  </si>
  <si>
    <t>KDSP049</t>
  </si>
  <si>
    <t>Janko</t>
  </si>
  <si>
    <t>Kersnik</t>
  </si>
  <si>
    <t>Agitator</t>
  </si>
  <si>
    <t>https://github.com/COST-ELTeC/ELTeC-slv/blob/v0.7.1/level1/SLV00187.xml</t>
  </si>
  <si>
    <t>SHAME_171</t>
  </si>
  <si>
    <t>KDSP040</t>
  </si>
  <si>
    <t>Ciklamen</t>
  </si>
  <si>
    <t>https://github.com/COST-ELTeC/ELTeC-slv/blob/v0.7.1/level1/SLV00058.xml</t>
  </si>
  <si>
    <t>SHAME_173</t>
  </si>
  <si>
    <t>Lutrski ljudje</t>
  </si>
  <si>
    <t>https://sl.wikisource.org/wiki/Lutrski_ljudje</t>
  </si>
  <si>
    <t>SHAME_174</t>
  </si>
  <si>
    <t>KDSP023</t>
  </si>
  <si>
    <t>Na Žerinjah</t>
  </si>
  <si>
    <t>https://github.com/COST-ELTeC/ELTeC-slv/blob/v0.7.1/level1/SLV00194.xml</t>
  </si>
  <si>
    <t>SHAME_177</t>
  </si>
  <si>
    <t>SHAME_178</t>
  </si>
  <si>
    <t>KDSP008</t>
  </si>
  <si>
    <t>Jernej</t>
  </si>
  <si>
    <t>Dolžan</t>
  </si>
  <si>
    <t>Mati božja dobrega sveta ali bratovska ljubezen</t>
  </si>
  <si>
    <t>https://sl.wikisource.org/wiki/Mati_Bo%C5%BEja_dobrega_sveta_ali_bratovska_ljubezen</t>
  </si>
  <si>
    <t>SHAME_184</t>
  </si>
  <si>
    <t>SHAME_186</t>
  </si>
  <si>
    <t>KDSP005</t>
  </si>
  <si>
    <t>Josip</t>
  </si>
  <si>
    <t>Jurčič</t>
  </si>
  <si>
    <t>Jurij Kozjak, slovenski janičar</t>
  </si>
  <si>
    <t>https://sl.wikisource.org/wiki/Jurij_Kozjak</t>
  </si>
  <si>
    <t>SHAME_185</t>
  </si>
  <si>
    <t>SHAME_187</t>
  </si>
  <si>
    <t>KDSP028</t>
  </si>
  <si>
    <t>Lepa Vida</t>
  </si>
  <si>
    <t>https://github.com/COST-ELTeC/ELTeC-slv/blob/v0.7.1/level1/SLV10011.xml</t>
  </si>
  <si>
    <t>SHAME_190</t>
  </si>
  <si>
    <t>SHAME_192</t>
  </si>
  <si>
    <t>Sosedov sin</t>
  </si>
  <si>
    <r>
      <rPr>
        <rFont val="Arial"/>
        <color rgb="FF1155CC"/>
        <u/>
      </rPr>
      <t>https://lit.ijs.si/sosedovs.html</t>
    </r>
    <r>
      <rPr>
        <rFont val="Arial"/>
      </rPr>
      <t xml:space="preserve"> </t>
    </r>
  </si>
  <si>
    <r>
      <rPr>
        <rFont val="Arial"/>
        <color rgb="FF1155CC"/>
        <u/>
      </rPr>
      <t>Wikivir</t>
    </r>
    <r>
      <rPr>
        <rFont val="Arial"/>
      </rPr>
      <t xml:space="preserve"> - </t>
    </r>
    <r>
      <rPr>
        <rFont val="Arial"/>
        <color rgb="FF1155CC"/>
        <u/>
      </rPr>
      <t>leposlovje</t>
    </r>
  </si>
  <si>
    <t>SHAME_194</t>
  </si>
  <si>
    <t>KDSP124</t>
  </si>
  <si>
    <t>Kostanjevec</t>
  </si>
  <si>
    <t>Ella</t>
  </si>
  <si>
    <t>https://sl.wikisource.org/wiki/Ella</t>
  </si>
  <si>
    <t>SHAME_200</t>
  </si>
  <si>
    <t>SHAME_202</t>
  </si>
  <si>
    <t>KDSP144</t>
  </si>
  <si>
    <t>Pošteni ljudje</t>
  </si>
  <si>
    <t>https://sl.wikisource.org/wiki/Po%C5%A1teni_ljudje</t>
  </si>
  <si>
    <t>SHAME_208</t>
  </si>
  <si>
    <t>SHAME_210</t>
  </si>
  <si>
    <t>KDSP010</t>
  </si>
  <si>
    <t>Podmilšak</t>
  </si>
  <si>
    <t>Žalost in veselje</t>
  </si>
  <si>
    <t>https://github.com/COST-ELTeC/ELTeC-slv/blob/v0.7.1/level1/SLV00122.xml</t>
  </si>
  <si>
    <t>SHAME_209</t>
  </si>
  <si>
    <t>SHAME_211</t>
  </si>
  <si>
    <t>KDSP223</t>
  </si>
  <si>
    <t>Premk</t>
  </si>
  <si>
    <t>Krona v višavi</t>
  </si>
  <si>
    <t>https://sl.wikisource.org/wiki/Krona_v_vi%C5%A1avi</t>
  </si>
  <si>
    <t>SHAME_212</t>
  </si>
  <si>
    <t>KDSP232</t>
  </si>
  <si>
    <t>Letoviščarji</t>
  </si>
  <si>
    <t>https://sl.wikisource.org/wiki/Letovi%C5%A1%C4%8Darji</t>
  </si>
  <si>
    <t>SHAME_213</t>
  </si>
  <si>
    <t>SHAME_215</t>
  </si>
  <si>
    <t>KDSP060</t>
  </si>
  <si>
    <t>Stare</t>
  </si>
  <si>
    <t>Vanda</t>
  </si>
  <si>
    <t>https://sl.wikisource.org/wiki/Vanda_(Josip_Stare)</t>
  </si>
  <si>
    <t>SHAME_216</t>
  </si>
  <si>
    <t>SHAME_220</t>
  </si>
  <si>
    <t>Stritar</t>
  </si>
  <si>
    <t>Rosana</t>
  </si>
  <si>
    <r>
      <rPr>
        <rFont val="Arial"/>
        <color rgb="FF1155CC"/>
        <u/>
      </rPr>
      <t>https://lit.ijs.si/rosana.html</t>
    </r>
    <r>
      <rPr>
        <rFont val="Arial"/>
      </rPr>
      <t xml:space="preserve"> </t>
    </r>
  </si>
  <si>
    <r>
      <rPr>
        <rFont val="Arial"/>
        <color rgb="FF1155CC"/>
        <u/>
      </rPr>
      <t>Wikivir</t>
    </r>
    <r>
      <rPr>
        <rFont val="Arial"/>
      </rPr>
      <t xml:space="preserve"> - </t>
    </r>
    <r>
      <rPr>
        <rFont val="Arial"/>
        <color rgb="FF1155CC"/>
        <u/>
      </rPr>
      <t>leposlovje</t>
    </r>
  </si>
  <si>
    <t>SHAME_218</t>
  </si>
  <si>
    <t>SHAME_222</t>
  </si>
  <si>
    <t>KDSP012</t>
  </si>
  <si>
    <t>Zorin</t>
  </si>
  <si>
    <t>https://github.com/COST-ELTeC/ELTeC-slv/blob/v0.7.1/level1/SLV10023.xml</t>
  </si>
  <si>
    <t>SHAME_223</t>
  </si>
  <si>
    <t>Josipina Turnograjska</t>
  </si>
  <si>
    <t>Josipina</t>
  </si>
  <si>
    <t>Turnograjska</t>
  </si>
  <si>
    <t>F</t>
  </si>
  <si>
    <t>Boris</t>
  </si>
  <si>
    <t>TBD</t>
  </si>
  <si>
    <t>https://sl.wikisource.org/wiki/Boris</t>
  </si>
  <si>
    <t>SHAME_225</t>
  </si>
  <si>
    <t>Očetova kletev</t>
  </si>
  <si>
    <t>https://sl.wikisource.org/wiki/O%C4%8Detova_kletev</t>
  </si>
  <si>
    <t>SHAME_226</t>
  </si>
  <si>
    <t>Rožmanova Lenčica</t>
  </si>
  <si>
    <t>https://sl.wikisource.org/wiki/Ro%C5%BEmanova_Len%C4%8Dica</t>
  </si>
  <si>
    <t>SHAME_229</t>
  </si>
  <si>
    <t>KDSP017</t>
  </si>
  <si>
    <t>Jurij</t>
  </si>
  <si>
    <t>Vranič</t>
  </si>
  <si>
    <t>Helena</t>
  </si>
  <si>
    <t>https://sl.wikisource.org/wiki/Helena_(Jurij_Vrani%C4%8D)</t>
  </si>
  <si>
    <t>SHAME_233</t>
  </si>
  <si>
    <t>SHAME_232</t>
  </si>
  <si>
    <t>KDSP175</t>
  </si>
  <si>
    <t>Lea</t>
  </si>
  <si>
    <t>Fatur</t>
  </si>
  <si>
    <t>Biseri</t>
  </si>
  <si>
    <t>https://sl.wikisource.org/wiki/Biseri_(Lea_Fatur)</t>
  </si>
  <si>
    <t>SHAME_236</t>
  </si>
  <si>
    <t>SHAME_235</t>
  </si>
  <si>
    <t>KDSP220</t>
  </si>
  <si>
    <t>Junakinja zvestobe</t>
  </si>
  <si>
    <t>https://sl.wikisource.org/wiki/Junakinja_zvestobe</t>
  </si>
  <si>
    <t>SHAME_237</t>
  </si>
  <si>
    <t>KDSP189</t>
  </si>
  <si>
    <t>Komisarjeva hči</t>
  </si>
  <si>
    <t>https://github.com/COST-ELTeC/ELTeC-slv/blob/v0.7.1/level1/SLV00352.xml</t>
  </si>
  <si>
    <t>SHAME_245</t>
  </si>
  <si>
    <t>SHAME_242</t>
  </si>
  <si>
    <t>KDSP198</t>
  </si>
  <si>
    <t>Leopold</t>
  </si>
  <si>
    <t>Lenard</t>
  </si>
  <si>
    <t>Izpod Kuma</t>
  </si>
  <si>
    <t>https://sl.wikisource.org/wiki/Izpod_Kuma</t>
  </si>
  <si>
    <t>SHAME_246</t>
  </si>
  <si>
    <t>SHAME_243</t>
  </si>
  <si>
    <t>KDSP057</t>
  </si>
  <si>
    <t>Luiza</t>
  </si>
  <si>
    <t>Pesjak</t>
  </si>
  <si>
    <t>Beatin dnevnik</t>
  </si>
  <si>
    <t>https://github.com/COST-ELTeC/ELTeC-slv/blob/v0.7.1/level1/SLV00227.xml</t>
  </si>
  <si>
    <t>SHAME_247</t>
  </si>
  <si>
    <t>Dragotin</t>
  </si>
  <si>
    <t>https://sl.wikisource.org/wiki/Dragotin</t>
  </si>
  <si>
    <t>SHAME_248</t>
  </si>
  <si>
    <t>Moja zvezdica</t>
  </si>
  <si>
    <t>https://sl.wikisource.org/wiki/Moja_zvezdica</t>
  </si>
  <si>
    <t>SHAME_253</t>
  </si>
  <si>
    <t>KDSP105</t>
  </si>
  <si>
    <t>Marica</t>
  </si>
  <si>
    <t>Nadlišek Bartol</t>
  </si>
  <si>
    <t>Fata morgana</t>
  </si>
  <si>
    <t>https://github.com/COST-ELTeC/ELTeC-slv/blob/v0.7.1/level1/SLV10020.xml</t>
  </si>
  <si>
    <t>SHAME_254</t>
  </si>
  <si>
    <t>Marica Nadlišek Bartol</t>
  </si>
  <si>
    <t>Iz življenja mlade umetnice</t>
  </si>
  <si>
    <t>https://sl.wikisource.org/wiki/Iz_%C5%BEivljenja_mlade_umetnice</t>
  </si>
  <si>
    <t>SHAME_257</t>
  </si>
  <si>
    <t>Slike in sličice iz življenja</t>
  </si>
  <si>
    <t>Yes, exclude</t>
  </si>
  <si>
    <t>https://sl.wikisource.org/wiki/Slike_in_sli%C4%8Dice_iz_%C5%BEivljenja</t>
  </si>
  <si>
    <t>SHAME_258</t>
  </si>
  <si>
    <t>Strte peruti</t>
  </si>
  <si>
    <t>https://sl.wikisource.org/wiki/Strte_peruti</t>
  </si>
  <si>
    <t>SHAME_260</t>
  </si>
  <si>
    <t>Marija</t>
  </si>
  <si>
    <t>Kmet</t>
  </si>
  <si>
    <t>V metežu</t>
  </si>
  <si>
    <t>https://sl.wikisource.org/wiki/V_mete%C5%BEu</t>
  </si>
  <si>
    <t>SHAME_261</t>
  </si>
  <si>
    <t>Marijana Željeznov Kokalj</t>
  </si>
  <si>
    <t>Marijana</t>
  </si>
  <si>
    <t>Željeznov Kokalj</t>
  </si>
  <si>
    <t>Darinka</t>
  </si>
  <si>
    <t>https://sl.wikisource.org/wiki/Darinka_(Marijana_%C5%BDeljeznov_Kokalj)</t>
  </si>
  <si>
    <t>SHAME_262</t>
  </si>
  <si>
    <t>Stroj</t>
  </si>
  <si>
    <t>https://sl.wikisource.org/wiki/Stroj_(Marijana_%C5%BDeljeznov_Kokalj)</t>
  </si>
  <si>
    <t>SHAME_263</t>
  </si>
  <si>
    <t>KDSP129</t>
  </si>
  <si>
    <t>Matija</t>
  </si>
  <si>
    <t>Prelesnik</t>
  </si>
  <si>
    <t>Naš stari greh</t>
  </si>
  <si>
    <t>https://github.com/COST-ELTeC/ELTeC-slv/blob/v0.7.1/level1/SLV00452.xml</t>
  </si>
  <si>
    <t>SHAME_264</t>
  </si>
  <si>
    <t>KDSP121</t>
  </si>
  <si>
    <t>Nesrečno zlato</t>
  </si>
  <si>
    <t>https://sl.wikisource.org/wiki/Nesre%C4%8Dno_zlato</t>
  </si>
  <si>
    <t>SHAME_265</t>
  </si>
  <si>
    <t>SHAME_249</t>
  </si>
  <si>
    <t>KDSP139</t>
  </si>
  <si>
    <t>V smrtni senci</t>
  </si>
  <si>
    <t>https://github.com/COST-ELTeC/ELTeC-slv/blob/v0.7.1/level1/SLV00454.xml</t>
  </si>
  <si>
    <t>SHAME_266</t>
  </si>
  <si>
    <t>SHAME_250</t>
  </si>
  <si>
    <t>KDSP147</t>
  </si>
  <si>
    <t>Rode</t>
  </si>
  <si>
    <t>Brat Justin</t>
  </si>
  <si>
    <t>https://sl.wikisource.org/wiki/Brat_Justin</t>
  </si>
  <si>
    <t>SHAME_267</t>
  </si>
  <si>
    <t>SHAME_251</t>
  </si>
  <si>
    <t>KDSP212</t>
  </si>
  <si>
    <t>Prava in neprava ljubezen</t>
  </si>
  <si>
    <t>https://sl.wikisource.org/wiki/Prava_in_neprava_ljubezen</t>
  </si>
  <si>
    <t>SHAME_268</t>
  </si>
  <si>
    <t>SHAME_120</t>
  </si>
  <si>
    <t>KDSP156</t>
  </si>
  <si>
    <t>Milan</t>
  </si>
  <si>
    <t>Pugelj</t>
  </si>
  <si>
    <t>Franc Koritnik in njegova družina</t>
  </si>
  <si>
    <t>https://sl.wikisource.org/wiki/Franc_Koritnik_in_njegova_dru%C5%BEina</t>
  </si>
  <si>
    <t>SHAME_273</t>
  </si>
  <si>
    <t>KDSP197</t>
  </si>
  <si>
    <t>Miroslav</t>
  </si>
  <si>
    <t>Malovrh</t>
  </si>
  <si>
    <t>Ljubezen Končanove Klare</t>
  </si>
  <si>
    <t>https://sl.wikisource.org/wiki/Ljubezen_Kon%C4%8Danove_Klare</t>
  </si>
  <si>
    <t>SHAME_279</t>
  </si>
  <si>
    <t>SHAME_271</t>
  </si>
  <si>
    <t>KDSP210</t>
  </si>
  <si>
    <t>Skušnjave Tomaža Krmežljavčka</t>
  </si>
  <si>
    <t>https://sl.wikisource.org/wiki/Sku%C5%A1njave_Toma%C5%BEa_Krme%C5%BEljav%C4%8Dka</t>
  </si>
  <si>
    <t>SHAME_285</t>
  </si>
  <si>
    <t>SHAME_277</t>
  </si>
  <si>
    <t>KDSP194</t>
  </si>
  <si>
    <t>Zaljubljeni kapucin</t>
  </si>
  <si>
    <t>https://sl.wikisource.org/wiki/Zaljubljeni_kapucin</t>
  </si>
  <si>
    <t>SHAME_287</t>
  </si>
  <si>
    <t>KDSP128</t>
  </si>
  <si>
    <t>Pavel</t>
  </si>
  <si>
    <t>Perko</t>
  </si>
  <si>
    <t>Rotijin Blaže</t>
  </si>
  <si>
    <t>https://sl.wikisource.org/wiki/Rotijin_Bla%C5%BEe</t>
  </si>
  <si>
    <t>SHAME_288</t>
  </si>
  <si>
    <t>KDSP051</t>
  </si>
  <si>
    <t>Pavlina</t>
  </si>
  <si>
    <t>Pajk</t>
  </si>
  <si>
    <t>Arabela</t>
  </si>
  <si>
    <t>https://github.com/COST-ELTeC/ELTeC-slv/blob/v0.7.1/level1/SLV00231.xml</t>
  </si>
  <si>
    <t>Pavlina Pajk</t>
  </si>
  <si>
    <t>Blagodejna zvezdica</t>
  </si>
  <si>
    <t>https://sl.wikisource.org/wiki/Blagodejna_zvezdica</t>
  </si>
  <si>
    <t>SHAME_290</t>
  </si>
  <si>
    <t>KDSP052</t>
  </si>
  <si>
    <t>Dora</t>
  </si>
  <si>
    <r>
      <rPr>
        <rFont val="Arial"/>
        <color rgb="FF1155CC"/>
        <u/>
      </rPr>
      <t>https://sl.wikisource.org/wiki/Dora</t>
    </r>
    <r>
      <rPr>
        <rFont val="Arial"/>
      </rPr>
      <t xml:space="preserve"> </t>
    </r>
  </si>
  <si>
    <t>SHAME_300</t>
  </si>
  <si>
    <t>SHAME_296</t>
  </si>
  <si>
    <t>KDSP083</t>
  </si>
  <si>
    <t>Peter</t>
  </si>
  <si>
    <t>Bohinjec</t>
  </si>
  <si>
    <t>Jarem pregrehe</t>
  </si>
  <si>
    <t>https://sl.wikisource.org/wiki/Jarem_pregrehe</t>
  </si>
  <si>
    <t>SHAME_299</t>
  </si>
  <si>
    <t>KDSP252</t>
  </si>
  <si>
    <t>Svetobor</t>
  </si>
  <si>
    <t>https://sl.wikisource.org/wiki/Svetobor</t>
  </si>
  <si>
    <t>SHAME_305</t>
  </si>
  <si>
    <t>SHAME_301</t>
  </si>
  <si>
    <t>KDSP112</t>
  </si>
  <si>
    <t>Za staro pravdo</t>
  </si>
  <si>
    <t>https://www.dlib.si/details/URN:NBN:SI:DOC-JZXRWUXD</t>
  </si>
  <si>
    <t>SHAME_308</t>
  </si>
  <si>
    <t>Prežihov</t>
  </si>
  <si>
    <t>Voranc</t>
  </si>
  <si>
    <t>Samorastniki</t>
  </si>
  <si>
    <r>
      <rPr>
        <rFont val="Arial"/>
        <color rgb="FF1155CC"/>
        <u/>
      </rPr>
      <t>https://lit.ijs.si/samorast.html</t>
    </r>
    <r>
      <rPr>
        <rFont val="Arial"/>
      </rPr>
      <t xml:space="preserve"> </t>
    </r>
  </si>
  <si>
    <r>
      <rPr>
        <rFont val="Arial"/>
        <color rgb="FF1155CC"/>
        <u/>
      </rPr>
      <t>Wikivir</t>
    </r>
    <r>
      <rPr>
        <rFont val="Arial"/>
      </rPr>
      <t xml:space="preserve"> - </t>
    </r>
    <r>
      <rPr>
        <rFont val="Arial"/>
        <color rgb="FF1155CC"/>
        <u/>
      </rPr>
      <t>leposlovje</t>
    </r>
  </si>
  <si>
    <t>SHAME_307</t>
  </si>
  <si>
    <t>SHAME_309</t>
  </si>
  <si>
    <t>KDSP086</t>
  </si>
  <si>
    <t>Rado</t>
  </si>
  <si>
    <t>Murnik</t>
  </si>
  <si>
    <t>Groga in drugi</t>
  </si>
  <si>
    <t>https://github.com/COST-ELTeC/ELTeC-slv/blob/v0.7.1/level1/SLV00473.xml</t>
  </si>
  <si>
    <t>SHAME_310</t>
  </si>
  <si>
    <t>KDSP211</t>
  </si>
  <si>
    <t>Hči grofa Blagaja</t>
  </si>
  <si>
    <t>https://github.com/COST-ELTeC/ELTeC-slv/blob/v0.7.1/level1/SLV00526.xml</t>
  </si>
  <si>
    <t>SHAME_312</t>
  </si>
  <si>
    <t>KDSP256</t>
  </si>
  <si>
    <t>Na Bledu</t>
  </si>
  <si>
    <t>https://github.com/COST-ELTeC/ELTeC-slv/blob/v0.7.1/level1/SLV00476.xml</t>
  </si>
  <si>
    <t>SHAME_311</t>
  </si>
  <si>
    <t>SHAME_313</t>
  </si>
  <si>
    <t>KDSP101</t>
  </si>
  <si>
    <t>Rajko</t>
  </si>
  <si>
    <t>Perušek</t>
  </si>
  <si>
    <t>Mara Rendića</t>
  </si>
  <si>
    <t>https://sl.wikisource.org/wiki/Mara_Rendi%C4%87a</t>
  </si>
  <si>
    <t>SHAME_314</t>
  </si>
  <si>
    <t>Rudolf Maister</t>
  </si>
  <si>
    <t>Rudolf</t>
  </si>
  <si>
    <t>Maister</t>
  </si>
  <si>
    <t>Zaradi škandala</t>
  </si>
  <si>
    <t>https://sl.wikisource.org/wiki/Zaradi_%C5%A1kandala</t>
  </si>
  <si>
    <t>SHAME_315</t>
  </si>
  <si>
    <t>Ženske</t>
  </si>
  <si>
    <t>https://sl.wikisource.org/wiki/%C5%BDenske</t>
  </si>
  <si>
    <t>SHAME_316</t>
  </si>
  <si>
    <t>KDSP209</t>
  </si>
  <si>
    <t>Silvester</t>
  </si>
  <si>
    <t>Košutnik</t>
  </si>
  <si>
    <t>Turki pred Dunajem</t>
  </si>
  <si>
    <t>https://www.dlib.si/details/URN:NBN:SI:DOC-4ENYYRIH</t>
  </si>
  <si>
    <t>SHAME_317</t>
  </si>
  <si>
    <t>KDSP058</t>
  </si>
  <si>
    <t>Valentin</t>
  </si>
  <si>
    <t>Bernik</t>
  </si>
  <si>
    <t>Iz burkaste preteklosti Mihe Gorenjskega</t>
  </si>
  <si>
    <t>https://sl.wikisource.org/wiki/Iz_burkaste_preteklosti_Mihe_Gorenjskega</t>
  </si>
  <si>
    <t>SHAME_318</t>
  </si>
  <si>
    <t>KDSP020</t>
  </si>
  <si>
    <t>Vatroslav</t>
  </si>
  <si>
    <t>Holc</t>
  </si>
  <si>
    <t>Idealist</t>
  </si>
  <si>
    <t>https://www.dlib.si/details/URN:NBN:SI:DOC-R7R8ADI9</t>
  </si>
  <si>
    <t>SHAME_319</t>
  </si>
  <si>
    <t>KDSP191</t>
  </si>
  <si>
    <t>Vitomir</t>
  </si>
  <si>
    <t>Jelenc</t>
  </si>
  <si>
    <t>Žena</t>
  </si>
  <si>
    <t>https://github.com/COST-ELTeC/ELTeC-slv/blob/v0.7.1/level1/SLV10006.xml</t>
  </si>
  <si>
    <t>SHAME_321</t>
  </si>
  <si>
    <t>SHAME_320</t>
  </si>
  <si>
    <t>KDSP259</t>
  </si>
  <si>
    <t>Vladimir</t>
  </si>
  <si>
    <t>Levstik</t>
  </si>
  <si>
    <t>Gadje gnezdo</t>
  </si>
  <si>
    <t>https://github.com/COST-ELTeC/ELTeC-slv/blob/v0.7.1/level1/SLV00478.xml</t>
  </si>
  <si>
    <t>SHAME_322</t>
  </si>
  <si>
    <t>KDSP167</t>
  </si>
  <si>
    <t>V Babilonu svobode</t>
  </si>
  <si>
    <t>https://sl.wikisource.org/wiki/V_Babilonu_svobode</t>
  </si>
  <si>
    <t>SHAME_323</t>
  </si>
  <si>
    <t>KDSP228</t>
  </si>
  <si>
    <t>Za svobodo in ljubezen</t>
  </si>
  <si>
    <t>https://github.com/COST-ELTeC/ELTeC-slv/blob/v0.7.1/level1/SLV00483.xml</t>
  </si>
  <si>
    <t>SHAME_324</t>
  </si>
  <si>
    <t>Zapiski Tine Gramontove</t>
  </si>
  <si>
    <t>https://sl.wikisource.org/wiki/Zapiski_Tine_Gramontove</t>
  </si>
  <si>
    <t>SHAME_326</t>
  </si>
  <si>
    <t>Zofka Kveder</t>
  </si>
  <si>
    <t>Zofka</t>
  </si>
  <si>
    <t>Kveder</t>
  </si>
  <si>
    <t>Misterij žene</t>
  </si>
  <si>
    <t>https://sl.wikisource.org/wiki/Misterij_%C5%BEene</t>
  </si>
  <si>
    <t>SHAME_327</t>
  </si>
  <si>
    <t>SHAME_325</t>
  </si>
  <si>
    <t>KDSP135</t>
  </si>
  <si>
    <t>Nada</t>
  </si>
  <si>
    <t>https://github.com/COST-ELTeC/ELTeC-slv/blob/v0.7.1/level1/SLV10014.xml</t>
  </si>
  <si>
    <t>SHAME_328</t>
  </si>
  <si>
    <t>KDSP236</t>
  </si>
  <si>
    <t>Njeno življenje</t>
  </si>
  <si>
    <t>https://github.com/COST-ELTeC/ELTeC-slv/blob/v0.7.1/level1/SLV10015.xml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</si>
</sst>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0"/>
  </numFmts>
  <fonts count="6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3" numFmtId="0" xfId="0" applyFont="1"/>
    <xf borderId="0" fillId="2" fontId="4" numFmtId="0" xfId="0" applyAlignment="1" applyFont="1">
      <alignment vertical="bottom"/>
    </xf>
    <xf borderId="0" fillId="2" fontId="5" numFmtId="0" xfId="0" applyAlignment="1" applyFont="1">
      <alignment shrinkToFit="0" vertical="bottom" wrapText="0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larin.si/repository/xmlui/handle/11356/1823" TargetMode="External"/><Relationship Id="rId42" Type="http://schemas.openxmlformats.org/officeDocument/2006/relationships/hyperlink" Target="https://www.clarin.si/repository/xmlui/handle/11356/1823" TargetMode="External"/><Relationship Id="rId41" Type="http://schemas.openxmlformats.org/officeDocument/2006/relationships/hyperlink" Target="https://www.clarin.si/repository/xmlui/handle/11356/1823" TargetMode="External"/><Relationship Id="rId44" Type="http://schemas.openxmlformats.org/officeDocument/2006/relationships/hyperlink" Target="https://www.clarin.si/repository/xmlui/handle/11356/1823" TargetMode="External"/><Relationship Id="rId43" Type="http://schemas.openxmlformats.org/officeDocument/2006/relationships/hyperlink" Target="https://www.clarin.si/repository/xmlui/handle/11356/1823" TargetMode="External"/><Relationship Id="rId46" Type="http://schemas.openxmlformats.org/officeDocument/2006/relationships/hyperlink" Target="https://sl.wikisource.org/wiki/Povest_male_Dore" TargetMode="External"/><Relationship Id="rId45" Type="http://schemas.openxmlformats.org/officeDocument/2006/relationships/hyperlink" Target="https://sl.wikisource.org/wiki/%C4%8Clovek_brez_krinke" TargetMode="External"/><Relationship Id="rId107" Type="http://schemas.openxmlformats.org/officeDocument/2006/relationships/hyperlink" Target="https://www.clarin.si/repository/xmlui/handle/11356/1823" TargetMode="External"/><Relationship Id="rId106" Type="http://schemas.openxmlformats.org/officeDocument/2006/relationships/hyperlink" Target="https://www.clarin.si/repository/xmlui/handle/11356/1823" TargetMode="External"/><Relationship Id="rId105" Type="http://schemas.openxmlformats.org/officeDocument/2006/relationships/hyperlink" Target="https://www.clarin.si/repository/xmlui/handle/11356/1823" TargetMode="External"/><Relationship Id="rId104" Type="http://schemas.openxmlformats.org/officeDocument/2006/relationships/hyperlink" Target="https://www.clarin.si/repository/xmlui/handle/11356/1823" TargetMode="External"/><Relationship Id="rId109" Type="http://schemas.openxmlformats.org/officeDocument/2006/relationships/hyperlink" Target="https://www.clarin.si/repository/xmlui/handle/11356/1823" TargetMode="External"/><Relationship Id="rId108" Type="http://schemas.openxmlformats.org/officeDocument/2006/relationships/hyperlink" Target="https://www.clarin.si/repository/xmlui/handle/11356/1823" TargetMode="External"/><Relationship Id="rId48" Type="http://schemas.openxmlformats.org/officeDocument/2006/relationships/hyperlink" Target="https://www.clarin.si/repository/xmlui/handle/11356/1823" TargetMode="External"/><Relationship Id="rId47" Type="http://schemas.openxmlformats.org/officeDocument/2006/relationships/hyperlink" Target="https://www.clarin.si/repository/xmlui/handle/11356/1823" TargetMode="External"/><Relationship Id="rId49" Type="http://schemas.openxmlformats.org/officeDocument/2006/relationships/hyperlink" Target="https://lit.ijs.si/troje1.html" TargetMode="External"/><Relationship Id="rId103" Type="http://schemas.openxmlformats.org/officeDocument/2006/relationships/hyperlink" Target="https://www.clarin.si/repository/xmlui/handle/11356/1823" TargetMode="External"/><Relationship Id="rId102" Type="http://schemas.openxmlformats.org/officeDocument/2006/relationships/hyperlink" Target="https://www.clarin.si/repository/xmlui/handle/11356/1823" TargetMode="External"/><Relationship Id="rId101" Type="http://schemas.openxmlformats.org/officeDocument/2006/relationships/hyperlink" Target="https://sl.wikisource.org/wiki/Stroj_(Marijana_%C5%BDeljeznov_Kokalj)" TargetMode="External"/><Relationship Id="rId100" Type="http://schemas.openxmlformats.org/officeDocument/2006/relationships/hyperlink" Target="https://sl.wikisource.org/wiki/Darinka_(Marijana_%C5%BDeljeznov_Kokalj)" TargetMode="External"/><Relationship Id="rId31" Type="http://schemas.openxmlformats.org/officeDocument/2006/relationships/hyperlink" Target="https://www.clarin.si/repository/xmlui/handle/11356/1823" TargetMode="External"/><Relationship Id="rId30" Type="http://schemas.openxmlformats.org/officeDocument/2006/relationships/hyperlink" Target="https://www.clarin.si/repository/xmlui/handle/11356/1823" TargetMode="External"/><Relationship Id="rId33" Type="http://schemas.openxmlformats.org/officeDocument/2006/relationships/hyperlink" Target="https://www.clarin.si/repository/xmlui/handle/11356/1823" TargetMode="External"/><Relationship Id="rId32" Type="http://schemas.openxmlformats.org/officeDocument/2006/relationships/hyperlink" Target="https://www.clarin.si/repository/xmlui/handle/11356/1823" TargetMode="External"/><Relationship Id="rId35" Type="http://schemas.openxmlformats.org/officeDocument/2006/relationships/hyperlink" Target="https://www.clarin.si/repository/xmlui/handle/11356/1823" TargetMode="External"/><Relationship Id="rId34" Type="http://schemas.openxmlformats.org/officeDocument/2006/relationships/hyperlink" Target="https://www.clarin.si/repository/xmlui/handle/11356/1823" TargetMode="External"/><Relationship Id="rId37" Type="http://schemas.openxmlformats.org/officeDocument/2006/relationships/hyperlink" Target="https://www.clarin.si/repository/xmlui/handle/11356/1823" TargetMode="External"/><Relationship Id="rId36" Type="http://schemas.openxmlformats.org/officeDocument/2006/relationships/hyperlink" Target="https://www.clarin.si/repository/xmlui/handle/11356/1823" TargetMode="External"/><Relationship Id="rId39" Type="http://schemas.openxmlformats.org/officeDocument/2006/relationships/hyperlink" Target="https://www.clarin.si/repository/xmlui/handle/11356/1823" TargetMode="External"/><Relationship Id="rId38" Type="http://schemas.openxmlformats.org/officeDocument/2006/relationships/hyperlink" Target="https://www.clarin.si/repository/xmlui/handle/11356/1823" TargetMode="External"/><Relationship Id="rId20" Type="http://schemas.openxmlformats.org/officeDocument/2006/relationships/hyperlink" Target="https://www.clarin.si/repository/xmlui/handle/11356/1823" TargetMode="External"/><Relationship Id="rId22" Type="http://schemas.openxmlformats.org/officeDocument/2006/relationships/hyperlink" Target="https://www.clarin.si/repository/xmlui/handle/11356/1823" TargetMode="External"/><Relationship Id="rId21" Type="http://schemas.openxmlformats.org/officeDocument/2006/relationships/hyperlink" Target="https://www.clarin.si/repository/xmlui/handle/11356/1823" TargetMode="External"/><Relationship Id="rId24" Type="http://schemas.openxmlformats.org/officeDocument/2006/relationships/hyperlink" Target="https://www.clarin.si/repository/xmlui/handle/11356/1823" TargetMode="External"/><Relationship Id="rId23" Type="http://schemas.openxmlformats.org/officeDocument/2006/relationships/hyperlink" Target="https://www.clarin.si/repository/xmlui/handle/11356/1823" TargetMode="External"/><Relationship Id="rId129" Type="http://schemas.openxmlformats.org/officeDocument/2006/relationships/hyperlink" Target="https://www.clarin.si/repository/xmlui/handle/11356/1823" TargetMode="External"/><Relationship Id="rId128" Type="http://schemas.openxmlformats.org/officeDocument/2006/relationships/hyperlink" Target="https://www.clarin.si/repository/xmlui/handle/11356/1823" TargetMode="External"/><Relationship Id="rId127" Type="http://schemas.openxmlformats.org/officeDocument/2006/relationships/hyperlink" Target="https://www.clarin.si/repository/xmlui/handle/11356/1823" TargetMode="External"/><Relationship Id="rId126" Type="http://schemas.openxmlformats.org/officeDocument/2006/relationships/hyperlink" Target="https://sl.wikisource.org/wiki/%C5%BDenske" TargetMode="External"/><Relationship Id="rId26" Type="http://schemas.openxmlformats.org/officeDocument/2006/relationships/hyperlink" Target="https://www.clarin.si/repository/xmlui/handle/11356/1823" TargetMode="External"/><Relationship Id="rId121" Type="http://schemas.openxmlformats.org/officeDocument/2006/relationships/hyperlink" Target="https://www.clarin.si/repository/xmlui/handle/11356/1823" TargetMode="External"/><Relationship Id="rId25" Type="http://schemas.openxmlformats.org/officeDocument/2006/relationships/hyperlink" Target="https://www.clarin.si/repository/xmlui/handle/11356/1823" TargetMode="External"/><Relationship Id="rId120" Type="http://schemas.openxmlformats.org/officeDocument/2006/relationships/hyperlink" Target="https://nl.ijs.si/imp/wikivir/dl/" TargetMode="External"/><Relationship Id="rId28" Type="http://schemas.openxmlformats.org/officeDocument/2006/relationships/hyperlink" Target="https://www.clarin.si/repository/xmlui/handle/11356/1823" TargetMode="External"/><Relationship Id="rId27" Type="http://schemas.openxmlformats.org/officeDocument/2006/relationships/hyperlink" Target="https://www.clarin.si/repository/xmlui/handle/11356/1823" TargetMode="External"/><Relationship Id="rId125" Type="http://schemas.openxmlformats.org/officeDocument/2006/relationships/hyperlink" Target="https://sl.wikisource.org/wiki/Zaradi_%C5%A1kandala" TargetMode="External"/><Relationship Id="rId29" Type="http://schemas.openxmlformats.org/officeDocument/2006/relationships/hyperlink" Target="https://zenodo.org/records/4662600" TargetMode="External"/><Relationship Id="rId124" Type="http://schemas.openxmlformats.org/officeDocument/2006/relationships/hyperlink" Target="https://www.clarin.si/repository/xmlui/handle/11356/1823" TargetMode="External"/><Relationship Id="rId123" Type="http://schemas.openxmlformats.org/officeDocument/2006/relationships/hyperlink" Target="https://www.clarin.si/repository/xmlui/handle/11356/1823" TargetMode="External"/><Relationship Id="rId122" Type="http://schemas.openxmlformats.org/officeDocument/2006/relationships/hyperlink" Target="https://www.clarin.si/repository/xmlui/handle/11356/1823" TargetMode="External"/><Relationship Id="rId95" Type="http://schemas.openxmlformats.org/officeDocument/2006/relationships/hyperlink" Target="https://www.clarin.si/repository/xmlui/handle/11356/1823" TargetMode="External"/><Relationship Id="rId94" Type="http://schemas.openxmlformats.org/officeDocument/2006/relationships/hyperlink" Target="https://sl.wikisource.org/wiki/Moja_zvezdica" TargetMode="External"/><Relationship Id="rId97" Type="http://schemas.openxmlformats.org/officeDocument/2006/relationships/hyperlink" Target="https://sl.wikisource.org/wiki/Slike_in_sli%C4%8Dice_iz_%C5%BEivljenja" TargetMode="External"/><Relationship Id="rId96" Type="http://schemas.openxmlformats.org/officeDocument/2006/relationships/hyperlink" Target="https://sl.wikisource.org/wiki/Iz_%C5%BEivljenja_mlade_umetnice" TargetMode="External"/><Relationship Id="rId11" Type="http://schemas.openxmlformats.org/officeDocument/2006/relationships/hyperlink" Target="https://nl.ijs.si/imp/wikivir/dl/" TargetMode="External"/><Relationship Id="rId99" Type="http://schemas.openxmlformats.org/officeDocument/2006/relationships/hyperlink" Target="https://sl.wikisource.org/wiki/V_mete%C5%BEu" TargetMode="External"/><Relationship Id="rId10" Type="http://schemas.openxmlformats.org/officeDocument/2006/relationships/hyperlink" Target="https://lit.ijs.si/bohinceka.html" TargetMode="External"/><Relationship Id="rId98" Type="http://schemas.openxmlformats.org/officeDocument/2006/relationships/hyperlink" Target="https://sl.wikisource.org/wiki/Strte_peruti" TargetMode="External"/><Relationship Id="rId13" Type="http://schemas.openxmlformats.org/officeDocument/2006/relationships/hyperlink" Target="https://www.clarin.si/repository/xmlui/handle/11356/1823" TargetMode="External"/><Relationship Id="rId12" Type="http://schemas.openxmlformats.org/officeDocument/2006/relationships/hyperlink" Target="https://www.clarin.si/repository/xmlui/handle/11356/1823" TargetMode="External"/><Relationship Id="rId91" Type="http://schemas.openxmlformats.org/officeDocument/2006/relationships/hyperlink" Target="https://www.clarin.si/repository/xmlui/handle/11356/1823" TargetMode="External"/><Relationship Id="rId90" Type="http://schemas.openxmlformats.org/officeDocument/2006/relationships/hyperlink" Target="https://www.clarin.si/repository/xmlui/handle/11356/1823" TargetMode="External"/><Relationship Id="rId93" Type="http://schemas.openxmlformats.org/officeDocument/2006/relationships/hyperlink" Target="https://sl.wikisource.org/wiki/Dragotin" TargetMode="External"/><Relationship Id="rId92" Type="http://schemas.openxmlformats.org/officeDocument/2006/relationships/hyperlink" Target="https://www.clarin.si/repository/xmlui/handle/11356/1823" TargetMode="External"/><Relationship Id="rId118" Type="http://schemas.openxmlformats.org/officeDocument/2006/relationships/hyperlink" Target="https://www.clarin.si/repository/xmlui/handle/11356/1823" TargetMode="External"/><Relationship Id="rId117" Type="http://schemas.openxmlformats.org/officeDocument/2006/relationships/hyperlink" Target="https://www.clarin.si/repository/xmlui/handle/11356/1823" TargetMode="External"/><Relationship Id="rId116" Type="http://schemas.openxmlformats.org/officeDocument/2006/relationships/hyperlink" Target="https://www.clarin.si/repository/xmlui/handle/11356/1823" TargetMode="External"/><Relationship Id="rId115" Type="http://schemas.openxmlformats.org/officeDocument/2006/relationships/hyperlink" Target="https://www.clarin.si/repository/xmlui/handle/11356/1823" TargetMode="External"/><Relationship Id="rId119" Type="http://schemas.openxmlformats.org/officeDocument/2006/relationships/hyperlink" Target="https://lit.ijs.si/samorast.html" TargetMode="External"/><Relationship Id="rId15" Type="http://schemas.openxmlformats.org/officeDocument/2006/relationships/hyperlink" Target="https://www.clarin.si/repository/xmlui/handle/11356/1823" TargetMode="External"/><Relationship Id="rId110" Type="http://schemas.openxmlformats.org/officeDocument/2006/relationships/hyperlink" Target="https://www.clarin.si/repository/xmlui/handle/11356/1823" TargetMode="External"/><Relationship Id="rId14" Type="http://schemas.openxmlformats.org/officeDocument/2006/relationships/hyperlink" Target="https://www.clarin.si/repository/xmlui/handle/11356/1823" TargetMode="External"/><Relationship Id="rId17" Type="http://schemas.openxmlformats.org/officeDocument/2006/relationships/hyperlink" Target="https://www.clarin.si/repository/xmlui/handle/11356/1823" TargetMode="External"/><Relationship Id="rId16" Type="http://schemas.openxmlformats.org/officeDocument/2006/relationships/hyperlink" Target="https://www.clarin.si/repository/xmlui/handle/11356/1823" TargetMode="External"/><Relationship Id="rId19" Type="http://schemas.openxmlformats.org/officeDocument/2006/relationships/hyperlink" Target="https://www.clarin.si/repository/xmlui/handle/11356/1823" TargetMode="External"/><Relationship Id="rId114" Type="http://schemas.openxmlformats.org/officeDocument/2006/relationships/hyperlink" Target="https://sl.wikisource.org/wiki/Dora" TargetMode="External"/><Relationship Id="rId18" Type="http://schemas.openxmlformats.org/officeDocument/2006/relationships/hyperlink" Target="https://www.clarin.si/repository/xmlui/handle/11356/1319" TargetMode="External"/><Relationship Id="rId113" Type="http://schemas.openxmlformats.org/officeDocument/2006/relationships/hyperlink" Target="https://sl.wikisource.org/wiki/Blagodejna_zvezdica" TargetMode="External"/><Relationship Id="rId112" Type="http://schemas.openxmlformats.org/officeDocument/2006/relationships/hyperlink" Target="https://www.clarin.si/repository/xmlui/handle/11356/1823" TargetMode="External"/><Relationship Id="rId111" Type="http://schemas.openxmlformats.org/officeDocument/2006/relationships/hyperlink" Target="https://www.clarin.si/repository/xmlui/handle/11356/1823" TargetMode="External"/><Relationship Id="rId84" Type="http://schemas.openxmlformats.org/officeDocument/2006/relationships/hyperlink" Target="https://sl.wikisource.org/wiki/Boris" TargetMode="External"/><Relationship Id="rId83" Type="http://schemas.openxmlformats.org/officeDocument/2006/relationships/hyperlink" Target="https://www.clarin.si/repository/xmlui/handle/11356/1823" TargetMode="External"/><Relationship Id="rId86" Type="http://schemas.openxmlformats.org/officeDocument/2006/relationships/hyperlink" Target="https://sl.wikisource.org/wiki/Ro%C5%BEmanova_Len%C4%8Dica" TargetMode="External"/><Relationship Id="rId85" Type="http://schemas.openxmlformats.org/officeDocument/2006/relationships/hyperlink" Target="https://sl.wikisource.org/wiki/O%C4%8Detova_kletev" TargetMode="External"/><Relationship Id="rId88" Type="http://schemas.openxmlformats.org/officeDocument/2006/relationships/hyperlink" Target="https://www.clarin.si/repository/xmlui/handle/11356/1823" TargetMode="External"/><Relationship Id="rId87" Type="http://schemas.openxmlformats.org/officeDocument/2006/relationships/hyperlink" Target="https://www.clarin.si/repository/xmlui/handle/11356/1823" TargetMode="External"/><Relationship Id="rId89" Type="http://schemas.openxmlformats.org/officeDocument/2006/relationships/hyperlink" Target="https://www.clarin.si/repository/xmlui/handle/11356/1823" TargetMode="External"/><Relationship Id="rId80" Type="http://schemas.openxmlformats.org/officeDocument/2006/relationships/hyperlink" Target="https://www.clarin.si/repository/xmlui/handle/11356/1823" TargetMode="External"/><Relationship Id="rId82" Type="http://schemas.openxmlformats.org/officeDocument/2006/relationships/hyperlink" Target="https://nl.ijs.si/imp/wikivir/dl/" TargetMode="External"/><Relationship Id="rId81" Type="http://schemas.openxmlformats.org/officeDocument/2006/relationships/hyperlink" Target="https://lit.ijs.si/rosana.html" TargetMode="External"/><Relationship Id="rId1" Type="http://schemas.openxmlformats.org/officeDocument/2006/relationships/hyperlink" Target="https://www.clarin.si/repository/xmlui/handle/11356/1823" TargetMode="External"/><Relationship Id="rId2" Type="http://schemas.openxmlformats.org/officeDocument/2006/relationships/hyperlink" Target="https://www.clarin.si/repository/xmlui/handle/11356/1823" TargetMode="External"/><Relationship Id="rId3" Type="http://schemas.openxmlformats.org/officeDocument/2006/relationships/hyperlink" Target="https://www.clarin.si/repository/xmlui/handle/11356/1823" TargetMode="External"/><Relationship Id="rId4" Type="http://schemas.openxmlformats.org/officeDocument/2006/relationships/hyperlink" Target="https://www.clarin.si/repository/xmlui/handle/11356/1823" TargetMode="External"/><Relationship Id="rId9" Type="http://schemas.openxmlformats.org/officeDocument/2006/relationships/hyperlink" Target="https://www.clarin.si/repository/xmlui/handle/11356/1823" TargetMode="External"/><Relationship Id="rId5" Type="http://schemas.openxmlformats.org/officeDocument/2006/relationships/hyperlink" Target="https://www.clarin.si/repository/xmlui/handle/11356/1823" TargetMode="External"/><Relationship Id="rId6" Type="http://schemas.openxmlformats.org/officeDocument/2006/relationships/hyperlink" Target="https://www.clarin.si/repository/xmlui/handle/11356/1823" TargetMode="External"/><Relationship Id="rId7" Type="http://schemas.openxmlformats.org/officeDocument/2006/relationships/hyperlink" Target="https://sl.wikisource.org/wiki/Ada_(Slovenski_narod)" TargetMode="External"/><Relationship Id="rId8" Type="http://schemas.openxmlformats.org/officeDocument/2006/relationships/hyperlink" Target="https://www.clarin.si/repository/xmlui/handle/11356/1823" TargetMode="External"/><Relationship Id="rId73" Type="http://schemas.openxmlformats.org/officeDocument/2006/relationships/hyperlink" Target="https://lit.ijs.si/sosedovs.html" TargetMode="External"/><Relationship Id="rId72" Type="http://schemas.openxmlformats.org/officeDocument/2006/relationships/hyperlink" Target="https://www.clarin.si/repository/xmlui/handle/11356/1823" TargetMode="External"/><Relationship Id="rId75" Type="http://schemas.openxmlformats.org/officeDocument/2006/relationships/hyperlink" Target="https://www.clarin.si/repository/xmlui/handle/11356/1823" TargetMode="External"/><Relationship Id="rId74" Type="http://schemas.openxmlformats.org/officeDocument/2006/relationships/hyperlink" Target="https://nl.ijs.si/imp/wikivir/dl/" TargetMode="External"/><Relationship Id="rId77" Type="http://schemas.openxmlformats.org/officeDocument/2006/relationships/hyperlink" Target="https://www.clarin.si/repository/xmlui/handle/11356/1823" TargetMode="External"/><Relationship Id="rId76" Type="http://schemas.openxmlformats.org/officeDocument/2006/relationships/hyperlink" Target="https://www.clarin.si/repository/xmlui/handle/11356/1823" TargetMode="External"/><Relationship Id="rId79" Type="http://schemas.openxmlformats.org/officeDocument/2006/relationships/hyperlink" Target="https://www.clarin.si/repository/xmlui/handle/11356/1823" TargetMode="External"/><Relationship Id="rId78" Type="http://schemas.openxmlformats.org/officeDocument/2006/relationships/hyperlink" Target="https://www.clarin.si/repository/xmlui/handle/11356/1823" TargetMode="External"/><Relationship Id="rId71" Type="http://schemas.openxmlformats.org/officeDocument/2006/relationships/hyperlink" Target="https://www.clarin.si/repository/xmlui/handle/11356/1823" TargetMode="External"/><Relationship Id="rId70" Type="http://schemas.openxmlformats.org/officeDocument/2006/relationships/hyperlink" Target="https://www.clarin.si/repository/xmlui/handle/11356/1823" TargetMode="External"/><Relationship Id="rId138" Type="http://schemas.openxmlformats.org/officeDocument/2006/relationships/drawing" Target="../drawings/drawing1.xml"/><Relationship Id="rId137" Type="http://schemas.openxmlformats.org/officeDocument/2006/relationships/hyperlink" Target="https://www.clarin.si/repository/xmlui/handle/11356/1823" TargetMode="External"/><Relationship Id="rId132" Type="http://schemas.openxmlformats.org/officeDocument/2006/relationships/hyperlink" Target="https://www.clarin.si/repository/xmlui/handle/11356/1823" TargetMode="External"/><Relationship Id="rId131" Type="http://schemas.openxmlformats.org/officeDocument/2006/relationships/hyperlink" Target="https://www.clarin.si/repository/xmlui/handle/11356/1823" TargetMode="External"/><Relationship Id="rId130" Type="http://schemas.openxmlformats.org/officeDocument/2006/relationships/hyperlink" Target="https://www.clarin.si/repository/xmlui/handle/11356/1823" TargetMode="External"/><Relationship Id="rId136" Type="http://schemas.openxmlformats.org/officeDocument/2006/relationships/hyperlink" Target="https://www.clarin.si/repository/xmlui/handle/11356/1823" TargetMode="External"/><Relationship Id="rId135" Type="http://schemas.openxmlformats.org/officeDocument/2006/relationships/hyperlink" Target="https://sl.wikisource.org/wiki/Misterij_%C5%BEene" TargetMode="External"/><Relationship Id="rId134" Type="http://schemas.openxmlformats.org/officeDocument/2006/relationships/hyperlink" Target="https://sl.wikisource.org/wiki/Zapiski_Tine_Gramontove" TargetMode="External"/><Relationship Id="rId133" Type="http://schemas.openxmlformats.org/officeDocument/2006/relationships/hyperlink" Target="https://www.clarin.si/repository/xmlui/handle/11356/1823" TargetMode="External"/><Relationship Id="rId62" Type="http://schemas.openxmlformats.org/officeDocument/2006/relationships/hyperlink" Target="https://sl.wikisource.org/wiki/Kako_sem_se_jaz_likal" TargetMode="External"/><Relationship Id="rId61" Type="http://schemas.openxmlformats.org/officeDocument/2006/relationships/hyperlink" Target="https://www.clarin.si/repository/xmlui/handle/11356/1823" TargetMode="External"/><Relationship Id="rId64" Type="http://schemas.openxmlformats.org/officeDocument/2006/relationships/hyperlink" Target="https://www.clarin.si/repository/xmlui/handle/11356/1823" TargetMode="External"/><Relationship Id="rId63" Type="http://schemas.openxmlformats.org/officeDocument/2006/relationships/hyperlink" Target="https://www.clarin.si/repository/xmlui/handle/11356/1823" TargetMode="External"/><Relationship Id="rId66" Type="http://schemas.openxmlformats.org/officeDocument/2006/relationships/hyperlink" Target="https://www.clarin.si/repository/xmlui/handle/11356/1823" TargetMode="External"/><Relationship Id="rId65" Type="http://schemas.openxmlformats.org/officeDocument/2006/relationships/hyperlink" Target="https://www.clarin.si/repository/xmlui/handle/11356/1823" TargetMode="External"/><Relationship Id="rId68" Type="http://schemas.openxmlformats.org/officeDocument/2006/relationships/hyperlink" Target="https://sl.wikisource.org/wiki/Lutrski_ljudje" TargetMode="External"/><Relationship Id="rId67" Type="http://schemas.openxmlformats.org/officeDocument/2006/relationships/hyperlink" Target="https://www.clarin.si/repository/xmlui/handle/11356/1823" TargetMode="External"/><Relationship Id="rId60" Type="http://schemas.openxmlformats.org/officeDocument/2006/relationships/hyperlink" Target="https://www.clarin.si/repository/xmlui/handle/11356/1823" TargetMode="External"/><Relationship Id="rId69" Type="http://schemas.openxmlformats.org/officeDocument/2006/relationships/hyperlink" Target="https://www.clarin.si/repository/xmlui/handle/11356/1823" TargetMode="External"/><Relationship Id="rId51" Type="http://schemas.openxmlformats.org/officeDocument/2006/relationships/hyperlink" Target="https://www.clarin.si/repository/xmlui/handle/11356/1823" TargetMode="External"/><Relationship Id="rId50" Type="http://schemas.openxmlformats.org/officeDocument/2006/relationships/hyperlink" Target="https://nl.ijs.si/imp/wikivir/dl/" TargetMode="External"/><Relationship Id="rId53" Type="http://schemas.openxmlformats.org/officeDocument/2006/relationships/hyperlink" Target="https://www.clarin.si/repository/xmlui/handle/11356/1823" TargetMode="External"/><Relationship Id="rId52" Type="http://schemas.openxmlformats.org/officeDocument/2006/relationships/hyperlink" Target="https://www.clarin.si/repository/xmlui/handle/11356/1823" TargetMode="External"/><Relationship Id="rId55" Type="http://schemas.openxmlformats.org/officeDocument/2006/relationships/hyperlink" Target="https://www.clarin.si/repository/xmlui/handle/11356/1823" TargetMode="External"/><Relationship Id="rId54" Type="http://schemas.openxmlformats.org/officeDocument/2006/relationships/hyperlink" Target="https://www.clarin.si/repository/xmlui/handle/11356/1823" TargetMode="External"/><Relationship Id="rId57" Type="http://schemas.openxmlformats.org/officeDocument/2006/relationships/hyperlink" Target="https://www.clarin.si/repository/xmlui/handle/11356/1823" TargetMode="External"/><Relationship Id="rId56" Type="http://schemas.openxmlformats.org/officeDocument/2006/relationships/hyperlink" Target="https://www.clarin.si/repository/xmlui/handle/11356/1823" TargetMode="External"/><Relationship Id="rId59" Type="http://schemas.openxmlformats.org/officeDocument/2006/relationships/hyperlink" Target="https://www.clarin.si/repository/xmlui/handle/11356/1823" TargetMode="External"/><Relationship Id="rId58" Type="http://schemas.openxmlformats.org/officeDocument/2006/relationships/hyperlink" Target="https://sl.wikisource.org/wiki/Gospa_Silvi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>
      <c r="A2" s="5" t="s">
        <v>17</v>
      </c>
      <c r="B2" s="5">
        <f t="shared" ref="B2:B131" si="1">ROW(C2)-1</f>
        <v>1</v>
      </c>
      <c r="C2" s="5" t="s">
        <v>18</v>
      </c>
      <c r="D2" s="6" t="s">
        <v>19</v>
      </c>
      <c r="E2" s="7" t="str">
        <f t="shared" ref="E2:E131" si="2">F2&amp;" "&amp;" - "&amp;K2</f>
        <v>Albin Prepeluh  - Mina</v>
      </c>
      <c r="F2" s="6" t="str">
        <f t="shared" ref="F2:F79" si="3">G2&amp;" "&amp;H2</f>
        <v>Albin Prepeluh</v>
      </c>
      <c r="G2" s="6" t="s">
        <v>20</v>
      </c>
      <c r="H2" s="6" t="s">
        <v>21</v>
      </c>
      <c r="I2" s="8" t="str">
        <f>IFERROR(VLOOKUP(R[0]C[-3],'Author-Period'!C[-8]:C[-6],3,false), "unknown")</f>
        <v>#ERROR!</v>
      </c>
      <c r="J2" s="6" t="s">
        <v>22</v>
      </c>
      <c r="K2" s="6" t="s">
        <v>23</v>
      </c>
      <c r="L2" s="6" t="s">
        <v>24</v>
      </c>
      <c r="M2" s="9">
        <v>33237.0</v>
      </c>
      <c r="N2" s="10">
        <v>1910.0</v>
      </c>
      <c r="O2" s="10">
        <v>1910.0</v>
      </c>
      <c r="P2" s="6" t="s">
        <v>25</v>
      </c>
      <c r="Q2" s="11" t="s">
        <v>26</v>
      </c>
      <c r="R2" s="12"/>
      <c r="S2" s="12"/>
      <c r="T2" s="12"/>
      <c r="U2" s="12"/>
      <c r="V2" s="12"/>
      <c r="W2" s="12"/>
      <c r="X2" s="12"/>
      <c r="Y2" s="12"/>
      <c r="Z2" s="12"/>
    </row>
    <row r="3">
      <c r="A3" s="5" t="s">
        <v>27</v>
      </c>
      <c r="B3" s="5">
        <f t="shared" si="1"/>
        <v>2</v>
      </c>
      <c r="C3" s="5" t="s">
        <v>28</v>
      </c>
      <c r="D3" s="6" t="s">
        <v>29</v>
      </c>
      <c r="E3" s="7" t="str">
        <f t="shared" si="2"/>
        <v>Alojz Kraigher  - Kontrolor Škrobar</v>
      </c>
      <c r="F3" s="6" t="str">
        <f t="shared" si="3"/>
        <v>Alojz Kraigher</v>
      </c>
      <c r="G3" s="6" t="s">
        <v>30</v>
      </c>
      <c r="H3" s="6" t="s">
        <v>31</v>
      </c>
      <c r="I3" s="8" t="str">
        <f>IFERROR(VLOOKUP(R[0]C[-3],'Author-Period'!C[-8]:C[-6],3,false), "unknown")</f>
        <v>#ERROR!</v>
      </c>
      <c r="J3" s="6" t="s">
        <v>22</v>
      </c>
      <c r="K3" s="6" t="s">
        <v>32</v>
      </c>
      <c r="L3" s="6" t="s">
        <v>24</v>
      </c>
      <c r="M3" s="9">
        <v>136107.0</v>
      </c>
      <c r="N3" s="10">
        <v>1914.0</v>
      </c>
      <c r="O3" s="10">
        <v>1914.0</v>
      </c>
      <c r="P3" s="6" t="s">
        <v>33</v>
      </c>
      <c r="Q3" s="11" t="s">
        <v>26</v>
      </c>
      <c r="R3" s="12"/>
      <c r="S3" s="12"/>
      <c r="T3" s="12"/>
      <c r="U3" s="12"/>
      <c r="V3" s="12"/>
      <c r="W3" s="12"/>
      <c r="X3" s="12"/>
      <c r="Y3" s="12"/>
      <c r="Z3" s="12"/>
    </row>
    <row r="4">
      <c r="A4" s="5" t="s">
        <v>34</v>
      </c>
      <c r="B4" s="5">
        <f t="shared" si="1"/>
        <v>3</v>
      </c>
      <c r="C4" s="5" t="s">
        <v>35</v>
      </c>
      <c r="D4" s="6" t="s">
        <v>36</v>
      </c>
      <c r="E4" s="7" t="str">
        <f t="shared" si="2"/>
        <v>Alojz Kraigher  - Mlada ljubezen</v>
      </c>
      <c r="F4" s="6" t="str">
        <f t="shared" si="3"/>
        <v>Alojz Kraigher</v>
      </c>
      <c r="G4" s="6" t="s">
        <v>30</v>
      </c>
      <c r="H4" s="6" t="s">
        <v>31</v>
      </c>
      <c r="I4" s="8" t="str">
        <f>IFERROR(VLOOKUP(R[0]C[-3],'Author-Period'!C[-8]:C[-6],3,false), "unknown")</f>
        <v>#ERROR!</v>
      </c>
      <c r="J4" s="6" t="s">
        <v>22</v>
      </c>
      <c r="K4" s="6" t="s">
        <v>37</v>
      </c>
      <c r="L4" s="6" t="s">
        <v>24</v>
      </c>
      <c r="M4" s="9">
        <v>78813.0</v>
      </c>
      <c r="N4" s="10">
        <v>1917.0</v>
      </c>
      <c r="O4" s="10">
        <v>1917.0</v>
      </c>
      <c r="P4" s="6" t="s">
        <v>38</v>
      </c>
      <c r="Q4" s="11" t="s">
        <v>26</v>
      </c>
      <c r="R4" s="12"/>
      <c r="S4" s="12"/>
      <c r="T4" s="12"/>
      <c r="U4" s="12"/>
      <c r="V4" s="12"/>
      <c r="W4" s="12"/>
      <c r="X4" s="12"/>
      <c r="Y4" s="12"/>
      <c r="Z4" s="12"/>
    </row>
    <row r="5">
      <c r="A5" s="5" t="s">
        <v>39</v>
      </c>
      <c r="B5" s="5">
        <f t="shared" si="1"/>
        <v>4</v>
      </c>
      <c r="C5" s="5" t="s">
        <v>40</v>
      </c>
      <c r="D5" s="6" t="s">
        <v>41</v>
      </c>
      <c r="E5" s="7" t="str">
        <f t="shared" si="2"/>
        <v>Alojzij Kokalj  - Cerkvene miši</v>
      </c>
      <c r="F5" s="6" t="str">
        <f t="shared" si="3"/>
        <v>Alojzij Kokalj</v>
      </c>
      <c r="G5" s="6" t="s">
        <v>42</v>
      </c>
      <c r="H5" s="6" t="s">
        <v>43</v>
      </c>
      <c r="I5" s="8" t="str">
        <f>IFERROR(VLOOKUP(R[0]C[-3],'Author-Period'!C[-8]:C[-6],3,false), "unknown")</f>
        <v>#ERROR!</v>
      </c>
      <c r="J5" s="6" t="s">
        <v>22</v>
      </c>
      <c r="K5" s="6" t="s">
        <v>44</v>
      </c>
      <c r="L5" s="6" t="s">
        <v>24</v>
      </c>
      <c r="M5" s="9">
        <v>86176.0</v>
      </c>
      <c r="N5" s="10">
        <v>1913.0</v>
      </c>
      <c r="O5" s="10">
        <v>1913.0</v>
      </c>
      <c r="P5" s="6" t="s">
        <v>45</v>
      </c>
      <c r="Q5" s="11" t="s">
        <v>26</v>
      </c>
      <c r="R5" s="12"/>
      <c r="S5" s="12"/>
      <c r="T5" s="12"/>
      <c r="U5" s="12"/>
      <c r="V5" s="12"/>
      <c r="W5" s="12"/>
      <c r="X5" s="12"/>
      <c r="Y5" s="12"/>
      <c r="Z5" s="12"/>
    </row>
    <row r="6">
      <c r="A6" s="5" t="s">
        <v>46</v>
      </c>
      <c r="B6" s="5">
        <f t="shared" si="1"/>
        <v>5</v>
      </c>
      <c r="C6" s="5" t="s">
        <v>47</v>
      </c>
      <c r="D6" s="6" t="s">
        <v>48</v>
      </c>
      <c r="E6" s="7" t="str">
        <f t="shared" si="2"/>
        <v>Alojzij Remec  - Veliki punt</v>
      </c>
      <c r="F6" s="6" t="str">
        <f t="shared" si="3"/>
        <v>Alojzij Remec</v>
      </c>
      <c r="G6" s="6" t="s">
        <v>42</v>
      </c>
      <c r="H6" s="6" t="s">
        <v>49</v>
      </c>
      <c r="I6" s="8" t="str">
        <f>IFERROR(VLOOKUP(R[0]C[-3],'Author-Period'!C[-8]:C[-6],3,false), "unknown")</f>
        <v>#ERROR!</v>
      </c>
      <c r="J6" s="6" t="s">
        <v>22</v>
      </c>
      <c r="K6" s="6" t="s">
        <v>50</v>
      </c>
      <c r="L6" s="6" t="s">
        <v>24</v>
      </c>
      <c r="M6" s="9">
        <v>53897.0</v>
      </c>
      <c r="N6" s="10">
        <v>1909.0</v>
      </c>
      <c r="O6" s="10">
        <v>1909.0</v>
      </c>
      <c r="P6" s="6" t="s">
        <v>51</v>
      </c>
      <c r="Q6" s="11" t="s">
        <v>26</v>
      </c>
      <c r="R6" s="12"/>
      <c r="S6" s="12"/>
      <c r="T6" s="12"/>
      <c r="U6" s="12"/>
      <c r="V6" s="12"/>
      <c r="W6" s="12"/>
      <c r="X6" s="12"/>
      <c r="Y6" s="12"/>
      <c r="Z6" s="12"/>
    </row>
    <row r="7">
      <c r="A7" s="5" t="s">
        <v>52</v>
      </c>
      <c r="B7" s="5">
        <f t="shared" si="1"/>
        <v>6</v>
      </c>
      <c r="C7" s="5" t="s">
        <v>53</v>
      </c>
      <c r="D7" s="6" t="s">
        <v>54</v>
      </c>
      <c r="E7" s="7" t="str">
        <f t="shared" si="2"/>
        <v>Andrej Budal  - Križev pot Petra Kupljenika</v>
      </c>
      <c r="F7" s="6" t="str">
        <f t="shared" si="3"/>
        <v>Andrej Budal</v>
      </c>
      <c r="G7" s="6" t="s">
        <v>55</v>
      </c>
      <c r="H7" s="6" t="s">
        <v>56</v>
      </c>
      <c r="I7" s="8" t="str">
        <f>IFERROR(VLOOKUP(R[0]C[-3],'Author-Period'!C[-8]:C[-6],3,false), "unknown")</f>
        <v>#ERROR!</v>
      </c>
      <c r="J7" s="6" t="s">
        <v>22</v>
      </c>
      <c r="K7" s="6" t="s">
        <v>57</v>
      </c>
      <c r="L7" s="6" t="s">
        <v>24</v>
      </c>
      <c r="M7" s="9">
        <v>23289.0</v>
      </c>
      <c r="N7" s="10">
        <v>1911.0</v>
      </c>
      <c r="O7" s="10">
        <v>1911.0</v>
      </c>
      <c r="P7" s="6" t="s">
        <v>58</v>
      </c>
      <c r="Q7" s="11" t="s">
        <v>26</v>
      </c>
      <c r="R7" s="12"/>
      <c r="S7" s="12"/>
      <c r="T7" s="12"/>
      <c r="U7" s="12"/>
      <c r="V7" s="12"/>
      <c r="W7" s="12"/>
      <c r="X7" s="12"/>
      <c r="Y7" s="12"/>
      <c r="Z7" s="12"/>
    </row>
    <row r="8">
      <c r="A8" s="5" t="s">
        <v>59</v>
      </c>
      <c r="B8" s="5">
        <f t="shared" si="1"/>
        <v>7</v>
      </c>
      <c r="C8" s="5" t="s">
        <v>60</v>
      </c>
      <c r="D8" s="6" t="s">
        <v>61</v>
      </c>
      <c r="E8" s="7" t="str">
        <f t="shared" si="2"/>
        <v>Anonimno Anonimno  - Ada</v>
      </c>
      <c r="F8" s="6" t="str">
        <f t="shared" si="3"/>
        <v>Anonimno Anonimno</v>
      </c>
      <c r="G8" s="6" t="s">
        <v>62</v>
      </c>
      <c r="H8" s="6" t="s">
        <v>62</v>
      </c>
      <c r="I8" s="8" t="str">
        <f>IFERROR(VLOOKUP(R[0]C[-3],'Author-Period'!C[-8]:C[-6],3,false), "unknown")</f>
        <v>#ERROR!</v>
      </c>
      <c r="J8" s="6" t="s">
        <v>63</v>
      </c>
      <c r="K8" s="6" t="s">
        <v>64</v>
      </c>
      <c r="L8" s="6" t="s">
        <v>24</v>
      </c>
      <c r="M8" s="9">
        <v>23319.0</v>
      </c>
      <c r="N8" s="10">
        <v>1908.0</v>
      </c>
      <c r="O8" s="10">
        <v>1908.0</v>
      </c>
      <c r="P8" s="11" t="s">
        <v>65</v>
      </c>
      <c r="Q8" s="11" t="s">
        <v>26</v>
      </c>
      <c r="R8" s="12"/>
      <c r="S8" s="12"/>
      <c r="T8" s="12"/>
      <c r="U8" s="12"/>
      <c r="V8" s="12"/>
      <c r="W8" s="12"/>
      <c r="X8" s="12"/>
      <c r="Y8" s="12"/>
      <c r="Z8" s="12"/>
    </row>
    <row r="9">
      <c r="A9" s="5" t="s">
        <v>66</v>
      </c>
      <c r="B9" s="5">
        <f t="shared" si="1"/>
        <v>8</v>
      </c>
      <c r="C9" s="5" t="s">
        <v>67</v>
      </c>
      <c r="D9" s="6" t="s">
        <v>68</v>
      </c>
      <c r="E9" s="7" t="str">
        <f t="shared" si="2"/>
        <v>Anonimno Anonimno  - Odlomki iz dnevnika</v>
      </c>
      <c r="F9" s="6" t="str">
        <f t="shared" si="3"/>
        <v>Anonimno Anonimno</v>
      </c>
      <c r="G9" s="6" t="s">
        <v>62</v>
      </c>
      <c r="H9" s="6" t="s">
        <v>62</v>
      </c>
      <c r="I9" s="8" t="str">
        <f>IFERROR(VLOOKUP(R[0]C[-3],'Author-Period'!C[-8]:C[-6],3,false), "unknown")</f>
        <v>#ERROR!</v>
      </c>
      <c r="J9" s="6" t="s">
        <v>63</v>
      </c>
      <c r="K9" s="6" t="s">
        <v>69</v>
      </c>
      <c r="L9" s="6" t="s">
        <v>24</v>
      </c>
      <c r="M9" s="9">
        <v>22580.0</v>
      </c>
      <c r="N9" s="10">
        <v>1917.0</v>
      </c>
      <c r="O9" s="10">
        <v>1917.0</v>
      </c>
      <c r="P9" s="6" t="s">
        <v>70</v>
      </c>
      <c r="Q9" s="11" t="s">
        <v>26</v>
      </c>
      <c r="R9" s="12"/>
      <c r="S9" s="12"/>
      <c r="T9" s="12"/>
      <c r="U9" s="12"/>
      <c r="V9" s="12"/>
      <c r="W9" s="12"/>
      <c r="X9" s="12"/>
      <c r="Y9" s="12"/>
      <c r="Z9" s="12"/>
    </row>
    <row r="10">
      <c r="A10" s="5" t="s">
        <v>71</v>
      </c>
      <c r="B10" s="5">
        <f t="shared" si="1"/>
        <v>9</v>
      </c>
      <c r="C10" s="5" t="s">
        <v>72</v>
      </c>
      <c r="D10" s="6" t="s">
        <v>73</v>
      </c>
      <c r="E10" s="7" t="str">
        <f t="shared" si="2"/>
        <v>Anonimno Anonimno  - Poštena Bohinčeka v Benetkah</v>
      </c>
      <c r="F10" s="6" t="str">
        <f t="shared" si="3"/>
        <v>Anonimno Anonimno</v>
      </c>
      <c r="G10" s="6" t="s">
        <v>62</v>
      </c>
      <c r="H10" s="6" t="s">
        <v>62</v>
      </c>
      <c r="I10" s="8" t="str">
        <f>IFERROR(VLOOKUP(R[0]C[-3],'Author-Period'!C[-8]:C[-6],3,false), "unknown")</f>
        <v>#ERROR!</v>
      </c>
      <c r="J10" s="6" t="s">
        <v>63</v>
      </c>
      <c r="K10" s="6" t="s">
        <v>74</v>
      </c>
      <c r="L10" s="6" t="s">
        <v>24</v>
      </c>
      <c r="M10" s="9">
        <v>18929.0</v>
      </c>
      <c r="N10" s="9">
        <v>1857.0</v>
      </c>
      <c r="O10" s="9">
        <v>1857.0</v>
      </c>
      <c r="P10" s="11" t="s">
        <v>75</v>
      </c>
      <c r="Q10" s="13" t="s">
        <v>76</v>
      </c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5" t="s">
        <v>77</v>
      </c>
      <c r="B11" s="5">
        <f t="shared" si="1"/>
        <v>10</v>
      </c>
      <c r="C11" s="5" t="s">
        <v>78</v>
      </c>
      <c r="D11" s="6" t="s">
        <v>79</v>
      </c>
      <c r="E11" s="7" t="str">
        <f t="shared" si="2"/>
        <v>Anonimno Anonimno  - Vihar</v>
      </c>
      <c r="F11" s="6" t="str">
        <f t="shared" si="3"/>
        <v>Anonimno Anonimno</v>
      </c>
      <c r="G11" s="6" t="s">
        <v>62</v>
      </c>
      <c r="H11" s="6" t="s">
        <v>62</v>
      </c>
      <c r="I11" s="8" t="str">
        <f>IFERROR(VLOOKUP(R[0]C[-3],'Author-Period'!C[-8]:C[-6],3,false), "unknown")</f>
        <v>#ERROR!</v>
      </c>
      <c r="J11" s="6" t="s">
        <v>63</v>
      </c>
      <c r="K11" s="6" t="s">
        <v>80</v>
      </c>
      <c r="L11" s="6" t="s">
        <v>24</v>
      </c>
      <c r="M11" s="9">
        <v>19879.0</v>
      </c>
      <c r="N11" s="10">
        <v>1911.0</v>
      </c>
      <c r="O11" s="10">
        <v>1911.0</v>
      </c>
      <c r="P11" s="6" t="s">
        <v>81</v>
      </c>
      <c r="Q11" s="11" t="s">
        <v>26</v>
      </c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5" t="s">
        <v>82</v>
      </c>
      <c r="B12" s="5">
        <f t="shared" si="1"/>
        <v>11</v>
      </c>
      <c r="C12" s="5" t="s">
        <v>83</v>
      </c>
      <c r="D12" s="6" t="s">
        <v>84</v>
      </c>
      <c r="E12" s="7" t="str">
        <f t="shared" si="2"/>
        <v>Anton Bartel  - Pomladanski vetrovi</v>
      </c>
      <c r="F12" s="6" t="str">
        <f t="shared" si="3"/>
        <v>Anton Bartel</v>
      </c>
      <c r="G12" s="6" t="s">
        <v>85</v>
      </c>
      <c r="H12" s="6" t="s">
        <v>86</v>
      </c>
      <c r="I12" s="8" t="str">
        <f>IFERROR(VLOOKUP(R[0]C[-3],'Author-Period'!C[-8]:C[-6],3,false), "unknown")</f>
        <v>#ERROR!</v>
      </c>
      <c r="J12" s="6" t="s">
        <v>22</v>
      </c>
      <c r="K12" s="6" t="s">
        <v>87</v>
      </c>
      <c r="L12" s="6" t="s">
        <v>24</v>
      </c>
      <c r="M12" s="9">
        <v>65225.0</v>
      </c>
      <c r="N12" s="10">
        <v>1881.0</v>
      </c>
      <c r="O12" s="10">
        <v>1881.0</v>
      </c>
      <c r="P12" s="6" t="s">
        <v>88</v>
      </c>
      <c r="Q12" s="11" t="s">
        <v>26</v>
      </c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5" t="s">
        <v>89</v>
      </c>
      <c r="B13" s="5">
        <f t="shared" si="1"/>
        <v>12</v>
      </c>
      <c r="C13" s="5" t="s">
        <v>90</v>
      </c>
      <c r="D13" s="6" t="s">
        <v>91</v>
      </c>
      <c r="E13" s="7" t="str">
        <f t="shared" si="2"/>
        <v>Anton Funtek  - Iz spominov mlade žene</v>
      </c>
      <c r="F13" s="6" t="str">
        <f t="shared" si="3"/>
        <v>Anton Funtek</v>
      </c>
      <c r="G13" s="6" t="s">
        <v>85</v>
      </c>
      <c r="H13" s="6" t="s">
        <v>92</v>
      </c>
      <c r="I13" s="8" t="str">
        <f>IFERROR(VLOOKUP(R[0]C[-3],'Author-Period'!C[-8]:C[-6],3,false), "unknown")</f>
        <v>#ERROR!</v>
      </c>
      <c r="J13" s="6" t="s">
        <v>22</v>
      </c>
      <c r="K13" s="6" t="s">
        <v>93</v>
      </c>
      <c r="L13" s="6" t="s">
        <v>24</v>
      </c>
      <c r="M13" s="9">
        <v>38633.0</v>
      </c>
      <c r="N13" s="10">
        <v>1887.0</v>
      </c>
      <c r="O13" s="10">
        <v>1887.0</v>
      </c>
      <c r="P13" s="6" t="s">
        <v>94</v>
      </c>
      <c r="Q13" s="11" t="s">
        <v>26</v>
      </c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5" t="s">
        <v>95</v>
      </c>
      <c r="B14" s="5">
        <f t="shared" si="1"/>
        <v>13</v>
      </c>
      <c r="C14" s="5" t="s">
        <v>96</v>
      </c>
      <c r="D14" s="6" t="s">
        <v>97</v>
      </c>
      <c r="E14" s="7" t="str">
        <f t="shared" si="2"/>
        <v>Anton Koder  - Marjetica</v>
      </c>
      <c r="F14" s="6" t="str">
        <f t="shared" si="3"/>
        <v>Anton Koder</v>
      </c>
      <c r="G14" s="6" t="s">
        <v>85</v>
      </c>
      <c r="H14" s="6" t="s">
        <v>98</v>
      </c>
      <c r="I14" s="8" t="str">
        <f>IFERROR(VLOOKUP(R[0]C[-3],'Author-Period'!C[-8]:C[-6],3,false), "unknown")</f>
        <v>#ERROR!</v>
      </c>
      <c r="J14" s="6" t="s">
        <v>22</v>
      </c>
      <c r="K14" s="6" t="s">
        <v>99</v>
      </c>
      <c r="L14" s="6" t="s">
        <v>24</v>
      </c>
      <c r="M14" s="9">
        <v>61987.0</v>
      </c>
      <c r="N14" s="10">
        <v>1877.0</v>
      </c>
      <c r="O14" s="10">
        <v>1877.0</v>
      </c>
      <c r="P14" s="6" t="s">
        <v>100</v>
      </c>
      <c r="Q14" s="11" t="s">
        <v>26</v>
      </c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5" t="s">
        <v>101</v>
      </c>
      <c r="B15" s="5">
        <f t="shared" si="1"/>
        <v>14</v>
      </c>
      <c r="C15" s="5" t="s">
        <v>102</v>
      </c>
      <c r="D15" s="6" t="s">
        <v>103</v>
      </c>
      <c r="E15" s="7" t="str">
        <f t="shared" si="2"/>
        <v>Anton Koder  - Zvezdana</v>
      </c>
      <c r="F15" s="6" t="str">
        <f t="shared" si="3"/>
        <v>Anton Koder</v>
      </c>
      <c r="G15" s="6" t="s">
        <v>85</v>
      </c>
      <c r="H15" s="6" t="s">
        <v>98</v>
      </c>
      <c r="I15" s="8" t="str">
        <f>IFERROR(VLOOKUP(R[0]C[-3],'Author-Period'!C[-8]:C[-6],3,false), "unknown")</f>
        <v>#ERROR!</v>
      </c>
      <c r="J15" s="6" t="s">
        <v>22</v>
      </c>
      <c r="K15" s="6" t="s">
        <v>104</v>
      </c>
      <c r="L15" s="6" t="s">
        <v>24</v>
      </c>
      <c r="M15" s="9">
        <v>31107.0</v>
      </c>
      <c r="N15" s="10">
        <v>1883.0</v>
      </c>
      <c r="O15" s="10">
        <v>1883.0</v>
      </c>
      <c r="P15" s="6" t="s">
        <v>105</v>
      </c>
      <c r="Q15" s="11" t="s">
        <v>26</v>
      </c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5" t="s">
        <v>106</v>
      </c>
      <c r="B16" s="5">
        <f t="shared" si="1"/>
        <v>15</v>
      </c>
      <c r="C16" s="5" t="s">
        <v>107</v>
      </c>
      <c r="D16" s="6" t="s">
        <v>108</v>
      </c>
      <c r="E16" s="7" t="str">
        <f t="shared" si="2"/>
        <v>Anton Mahnič  - Zadnji samotar</v>
      </c>
      <c r="F16" s="6" t="str">
        <f t="shared" si="3"/>
        <v>Anton Mahnič</v>
      </c>
      <c r="G16" s="6" t="s">
        <v>85</v>
      </c>
      <c r="H16" s="6" t="s">
        <v>109</v>
      </c>
      <c r="I16" s="8" t="str">
        <f>IFERROR(VLOOKUP(R[0]C[-3],'Author-Period'!C[-8]:C[-6],3,false), "unknown")</f>
        <v>#ERROR!</v>
      </c>
      <c r="J16" s="6" t="s">
        <v>22</v>
      </c>
      <c r="K16" s="6" t="s">
        <v>110</v>
      </c>
      <c r="L16" s="6" t="s">
        <v>24</v>
      </c>
      <c r="M16" s="9">
        <v>75393.0</v>
      </c>
      <c r="N16" s="10">
        <v>1885.0</v>
      </c>
      <c r="O16" s="10">
        <v>1885.0</v>
      </c>
      <c r="P16" s="6" t="s">
        <v>111</v>
      </c>
      <c r="Q16" s="11" t="s">
        <v>26</v>
      </c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5" t="s">
        <v>112</v>
      </c>
      <c r="B17" s="5">
        <f t="shared" si="1"/>
        <v>16</v>
      </c>
      <c r="C17" s="5" t="s">
        <v>113</v>
      </c>
      <c r="D17" s="6" t="s">
        <v>114</v>
      </c>
      <c r="E17" s="7" t="str">
        <f t="shared" si="2"/>
        <v>Benjamin Franklin  - Prava pot k dobrimu stanu ali ena beseda ob pravim časi</v>
      </c>
      <c r="F17" s="6" t="str">
        <f t="shared" si="3"/>
        <v>Benjamin Franklin</v>
      </c>
      <c r="G17" s="6" t="s">
        <v>115</v>
      </c>
      <c r="H17" s="6" t="s">
        <v>116</v>
      </c>
      <c r="I17" s="8" t="str">
        <f>IFERROR(VLOOKUP(R[0]C[-3],'Author-Period'!C[-8]:C[-6],3,false), "unknown")</f>
        <v>#ERROR!</v>
      </c>
      <c r="J17" s="6" t="s">
        <v>22</v>
      </c>
      <c r="K17" s="6" t="s">
        <v>117</v>
      </c>
      <c r="L17" s="6" t="s">
        <v>24</v>
      </c>
      <c r="M17" s="9">
        <v>8404.0</v>
      </c>
      <c r="N17" s="10">
        <v>1812.0</v>
      </c>
      <c r="O17" s="10">
        <v>1812.0</v>
      </c>
      <c r="P17" s="6" t="s">
        <v>118</v>
      </c>
      <c r="Q17" s="14" t="s">
        <v>119</v>
      </c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5" t="s">
        <v>120</v>
      </c>
      <c r="B18" s="5">
        <f t="shared" si="1"/>
        <v>17</v>
      </c>
      <c r="C18" s="5" t="s">
        <v>121</v>
      </c>
      <c r="D18" s="6" t="s">
        <v>122</v>
      </c>
      <c r="E18" s="7" t="str">
        <f t="shared" si="2"/>
        <v>Emil Vodeb  - Libera nos a malo</v>
      </c>
      <c r="F18" s="6" t="str">
        <f t="shared" si="3"/>
        <v>Emil Vodeb</v>
      </c>
      <c r="G18" s="6" t="s">
        <v>123</v>
      </c>
      <c r="H18" s="6" t="s">
        <v>124</v>
      </c>
      <c r="I18" s="8" t="str">
        <f>IFERROR(VLOOKUP(R[0]C[-3],'Author-Period'!C[-8]:C[-6],3,false), "unknown")</f>
        <v>#ERROR!</v>
      </c>
      <c r="J18" s="6" t="s">
        <v>22</v>
      </c>
      <c r="K18" s="6" t="s">
        <v>125</v>
      </c>
      <c r="L18" s="6" t="s">
        <v>24</v>
      </c>
      <c r="M18" s="9">
        <v>36292.0</v>
      </c>
      <c r="N18" s="10">
        <v>1911.0</v>
      </c>
      <c r="O18" s="10">
        <v>1911.0</v>
      </c>
      <c r="P18" s="6" t="s">
        <v>126</v>
      </c>
      <c r="Q18" s="11" t="s">
        <v>26</v>
      </c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5" t="s">
        <v>127</v>
      </c>
      <c r="B19" s="5">
        <f t="shared" si="1"/>
        <v>18</v>
      </c>
      <c r="C19" s="5" t="s">
        <v>128</v>
      </c>
      <c r="D19" s="6" t="s">
        <v>129</v>
      </c>
      <c r="E19" s="7" t="str">
        <f t="shared" si="2"/>
        <v>Engelbert Gangl  - Trije rodovi</v>
      </c>
      <c r="F19" s="6" t="str">
        <f t="shared" si="3"/>
        <v>Engelbert Gangl</v>
      </c>
      <c r="G19" s="6" t="s">
        <v>130</v>
      </c>
      <c r="H19" s="6" t="s">
        <v>131</v>
      </c>
      <c r="I19" s="8" t="str">
        <f>IFERROR(VLOOKUP(R[0]C[-3],'Author-Period'!C[-8]:C[-6],3,false), "unknown")</f>
        <v>#ERROR!</v>
      </c>
      <c r="J19" s="6" t="s">
        <v>22</v>
      </c>
      <c r="K19" s="6" t="s">
        <v>132</v>
      </c>
      <c r="L19" s="6" t="s">
        <v>24</v>
      </c>
      <c r="M19" s="9">
        <v>124034.0</v>
      </c>
      <c r="N19" s="10">
        <v>1910.0</v>
      </c>
      <c r="O19" s="10">
        <v>1910.0</v>
      </c>
      <c r="P19" s="6" t="s">
        <v>133</v>
      </c>
      <c r="Q19" s="11" t="s">
        <v>26</v>
      </c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5" t="s">
        <v>134</v>
      </c>
      <c r="B20" s="5">
        <f t="shared" si="1"/>
        <v>19</v>
      </c>
      <c r="C20" s="5" t="s">
        <v>135</v>
      </c>
      <c r="D20" s="6" t="s">
        <v>136</v>
      </c>
      <c r="E20" s="7" t="str">
        <f t="shared" si="2"/>
        <v>Engelbert Gangl  - Veliki trgovec</v>
      </c>
      <c r="F20" s="6" t="str">
        <f t="shared" si="3"/>
        <v>Engelbert Gangl</v>
      </c>
      <c r="G20" s="6" t="s">
        <v>130</v>
      </c>
      <c r="H20" s="6" t="s">
        <v>131</v>
      </c>
      <c r="I20" s="8" t="str">
        <f>IFERROR(VLOOKUP(R[0]C[-3],'Author-Period'!C[-8]:C[-6],3,false), "unknown")</f>
        <v>#ERROR!</v>
      </c>
      <c r="J20" s="6" t="s">
        <v>22</v>
      </c>
      <c r="K20" s="6" t="s">
        <v>137</v>
      </c>
      <c r="L20" s="6" t="s">
        <v>24</v>
      </c>
      <c r="M20" s="9">
        <v>83999.0</v>
      </c>
      <c r="N20" s="10">
        <v>1902.0</v>
      </c>
      <c r="O20" s="10">
        <v>1902.0</v>
      </c>
      <c r="P20" s="6" t="s">
        <v>138</v>
      </c>
      <c r="Q20" s="11" t="s">
        <v>26</v>
      </c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5" t="s">
        <v>139</v>
      </c>
      <c r="B21" s="5">
        <f t="shared" si="1"/>
        <v>20</v>
      </c>
      <c r="C21" s="5" t="s">
        <v>140</v>
      </c>
      <c r="D21" s="6" t="s">
        <v>141</v>
      </c>
      <c r="E21" s="7" t="str">
        <f t="shared" si="2"/>
        <v>Etbin Kristan  - Pertinčarjevo pomlajenje</v>
      </c>
      <c r="F21" s="6" t="str">
        <f t="shared" si="3"/>
        <v>Etbin Kristan</v>
      </c>
      <c r="G21" s="6" t="s">
        <v>142</v>
      </c>
      <c r="H21" s="6" t="s">
        <v>143</v>
      </c>
      <c r="I21" s="8" t="str">
        <f>IFERROR(VLOOKUP(R[0]C[-3],'Author-Period'!C[-8]:C[-6],3,false), "unknown")</f>
        <v>#ERROR!</v>
      </c>
      <c r="J21" s="6" t="s">
        <v>22</v>
      </c>
      <c r="K21" s="6" t="s">
        <v>144</v>
      </c>
      <c r="L21" s="6" t="s">
        <v>24</v>
      </c>
      <c r="M21" s="9">
        <v>55171.0</v>
      </c>
      <c r="N21" s="10">
        <v>1914.0</v>
      </c>
      <c r="O21" s="10">
        <v>1914.0</v>
      </c>
      <c r="P21" s="6" t="s">
        <v>145</v>
      </c>
      <c r="Q21" s="11" t="s">
        <v>26</v>
      </c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5" t="s">
        <v>146</v>
      </c>
      <c r="B22" s="5">
        <f t="shared" si="1"/>
        <v>21</v>
      </c>
      <c r="C22" s="5" t="s">
        <v>147</v>
      </c>
      <c r="D22" s="6" t="s">
        <v>148</v>
      </c>
      <c r="E22" s="7" t="str">
        <f t="shared" si="2"/>
        <v>Etbin Kristan  - Savičev pesimizem</v>
      </c>
      <c r="F22" s="6" t="str">
        <f t="shared" si="3"/>
        <v>Etbin Kristan</v>
      </c>
      <c r="G22" s="6" t="s">
        <v>142</v>
      </c>
      <c r="H22" s="6" t="s">
        <v>143</v>
      </c>
      <c r="I22" s="8" t="str">
        <f>IFERROR(VLOOKUP(R[0]C[-3],'Author-Period'!C[-8]:C[-6],3,false), "unknown")</f>
        <v>#ERROR!</v>
      </c>
      <c r="J22" s="6" t="s">
        <v>22</v>
      </c>
      <c r="K22" s="6" t="s">
        <v>149</v>
      </c>
      <c r="L22" s="6" t="s">
        <v>24</v>
      </c>
      <c r="M22" s="9">
        <v>19735.0</v>
      </c>
      <c r="N22" s="10">
        <v>1910.0</v>
      </c>
      <c r="O22" s="10">
        <v>1910.0</v>
      </c>
      <c r="P22" s="6" t="s">
        <v>150</v>
      </c>
      <c r="Q22" s="11" t="s">
        <v>26</v>
      </c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5" t="s">
        <v>151</v>
      </c>
      <c r="B23" s="5">
        <f t="shared" si="1"/>
        <v>22</v>
      </c>
      <c r="C23" s="5" t="s">
        <v>152</v>
      </c>
      <c r="D23" s="6" t="s">
        <v>153</v>
      </c>
      <c r="E23" s="7" t="str">
        <f t="shared" si="2"/>
        <v>Fedor Gradišnik  - Institutka</v>
      </c>
      <c r="F23" s="6" t="str">
        <f t="shared" si="3"/>
        <v>Fedor Gradišnik</v>
      </c>
      <c r="G23" s="6" t="s">
        <v>154</v>
      </c>
      <c r="H23" s="6" t="s">
        <v>155</v>
      </c>
      <c r="I23" s="8" t="str">
        <f>IFERROR(VLOOKUP(R[0]C[-3],'Author-Period'!C[-8]:C[-6],3,false), "unknown")</f>
        <v>#ERROR!</v>
      </c>
      <c r="J23" s="6" t="s">
        <v>22</v>
      </c>
      <c r="K23" s="6" t="s">
        <v>156</v>
      </c>
      <c r="L23" s="6" t="s">
        <v>24</v>
      </c>
      <c r="M23" s="9">
        <v>45400.0</v>
      </c>
      <c r="N23" s="10">
        <v>1911.0</v>
      </c>
      <c r="O23" s="10">
        <v>1911.0</v>
      </c>
      <c r="P23" s="6" t="s">
        <v>157</v>
      </c>
      <c r="Q23" s="11" t="s">
        <v>26</v>
      </c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5" t="s">
        <v>158</v>
      </c>
      <c r="B24" s="5">
        <f t="shared" si="1"/>
        <v>23</v>
      </c>
      <c r="C24" s="5" t="s">
        <v>159</v>
      </c>
      <c r="D24" s="6" t="s">
        <v>160</v>
      </c>
      <c r="E24" s="7" t="str">
        <f t="shared" si="2"/>
        <v>Ferdo Kočevar  - Mlinarjev Janez</v>
      </c>
      <c r="F24" s="6" t="str">
        <f t="shared" si="3"/>
        <v>Ferdo Kočevar</v>
      </c>
      <c r="G24" s="6" t="s">
        <v>161</v>
      </c>
      <c r="H24" s="6" t="s">
        <v>162</v>
      </c>
      <c r="I24" s="8" t="str">
        <f>IFERROR(VLOOKUP(R[0]C[-3],'Author-Period'!C[-8]:C[-6],3,false), "unknown")</f>
        <v>#ERROR!</v>
      </c>
      <c r="J24" s="6" t="s">
        <v>22</v>
      </c>
      <c r="K24" s="6" t="s">
        <v>163</v>
      </c>
      <c r="L24" s="6" t="s">
        <v>24</v>
      </c>
      <c r="M24" s="9">
        <v>31837.0</v>
      </c>
      <c r="N24" s="10">
        <v>1858.0</v>
      </c>
      <c r="O24" s="10">
        <v>1858.0</v>
      </c>
      <c r="P24" s="6" t="s">
        <v>164</v>
      </c>
      <c r="Q24" s="11" t="s">
        <v>26</v>
      </c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5" t="s">
        <v>165</v>
      </c>
      <c r="B25" s="5">
        <f t="shared" si="1"/>
        <v>24</v>
      </c>
      <c r="C25" s="5" t="s">
        <v>166</v>
      </c>
      <c r="D25" s="6" t="s">
        <v>167</v>
      </c>
      <c r="E25" s="7" t="str">
        <f t="shared" si="2"/>
        <v>Fran Detela  - Malo življenje</v>
      </c>
      <c r="F25" s="6" t="str">
        <f t="shared" si="3"/>
        <v>Fran Detela</v>
      </c>
      <c r="G25" s="6" t="s">
        <v>168</v>
      </c>
      <c r="H25" s="6" t="s">
        <v>169</v>
      </c>
      <c r="I25" s="8" t="str">
        <f>IFERROR(VLOOKUP(R[0]C[-3],'Author-Period'!C[-8]:C[-6],3,false), "unknown")</f>
        <v>#ERROR!</v>
      </c>
      <c r="J25" s="6" t="s">
        <v>22</v>
      </c>
      <c r="K25" s="6" t="s">
        <v>170</v>
      </c>
      <c r="L25" s="6" t="s">
        <v>24</v>
      </c>
      <c r="M25" s="9">
        <v>56511.0</v>
      </c>
      <c r="N25" s="10">
        <v>1882.0</v>
      </c>
      <c r="O25" s="10">
        <v>1882.0</v>
      </c>
      <c r="P25" s="6" t="s">
        <v>171</v>
      </c>
      <c r="Q25" s="11" t="s">
        <v>26</v>
      </c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5" t="s">
        <v>172</v>
      </c>
      <c r="B26" s="5">
        <f t="shared" si="1"/>
        <v>25</v>
      </c>
      <c r="C26" s="5" t="s">
        <v>173</v>
      </c>
      <c r="D26" s="6" t="s">
        <v>174</v>
      </c>
      <c r="E26" s="7" t="str">
        <f t="shared" si="2"/>
        <v>Fran Detela  - Novo življenje</v>
      </c>
      <c r="F26" s="6" t="str">
        <f t="shared" si="3"/>
        <v>Fran Detela</v>
      </c>
      <c r="G26" s="6" t="s">
        <v>168</v>
      </c>
      <c r="H26" s="6" t="s">
        <v>169</v>
      </c>
      <c r="I26" s="8" t="str">
        <f>IFERROR(VLOOKUP(R[0]C[-3],'Author-Period'!C[-8]:C[-6],3,false), "unknown")</f>
        <v>#ERROR!</v>
      </c>
      <c r="J26" s="6" t="s">
        <v>22</v>
      </c>
      <c r="K26" s="6" t="s">
        <v>175</v>
      </c>
      <c r="L26" s="6" t="s">
        <v>24</v>
      </c>
      <c r="M26" s="9">
        <v>43465.0</v>
      </c>
      <c r="N26" s="10">
        <v>1908.0</v>
      </c>
      <c r="O26" s="10">
        <v>1908.0</v>
      </c>
      <c r="P26" s="6" t="s">
        <v>176</v>
      </c>
      <c r="Q26" s="11" t="s">
        <v>26</v>
      </c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5" t="s">
        <v>177</v>
      </c>
      <c r="B27" s="5">
        <f t="shared" si="1"/>
        <v>26</v>
      </c>
      <c r="C27" s="5" t="s">
        <v>178</v>
      </c>
      <c r="D27" s="6" t="s">
        <v>179</v>
      </c>
      <c r="E27" s="7" t="str">
        <f t="shared" si="2"/>
        <v>Fran Govekar  - Ljubezen in rodoljubje</v>
      </c>
      <c r="F27" s="6" t="str">
        <f t="shared" si="3"/>
        <v>Fran Govekar</v>
      </c>
      <c r="G27" s="6" t="s">
        <v>168</v>
      </c>
      <c r="H27" s="6" t="s">
        <v>180</v>
      </c>
      <c r="I27" s="8" t="str">
        <f>IFERROR(VLOOKUP(R[0]C[-3],'Author-Period'!C[-8]:C[-6],3,false), "unknown")</f>
        <v>#ERROR!</v>
      </c>
      <c r="J27" s="6" t="s">
        <v>22</v>
      </c>
      <c r="K27" s="6" t="s">
        <v>181</v>
      </c>
      <c r="L27" s="6" t="s">
        <v>24</v>
      </c>
      <c r="M27" s="9">
        <v>32097.0</v>
      </c>
      <c r="N27" s="10">
        <v>1896.0</v>
      </c>
      <c r="O27" s="10">
        <v>1896.0</v>
      </c>
      <c r="P27" s="6" t="s">
        <v>182</v>
      </c>
      <c r="Q27" s="11" t="s">
        <v>26</v>
      </c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5" t="s">
        <v>183</v>
      </c>
      <c r="B28" s="5">
        <f t="shared" si="1"/>
        <v>27</v>
      </c>
      <c r="C28" s="5" t="s">
        <v>184</v>
      </c>
      <c r="D28" s="6" t="s">
        <v>185</v>
      </c>
      <c r="E28" s="7" t="str">
        <f t="shared" si="2"/>
        <v>Fran Govekar  - Svitanje</v>
      </c>
      <c r="F28" s="6" t="str">
        <f t="shared" si="3"/>
        <v>Fran Govekar</v>
      </c>
      <c r="G28" s="6" t="s">
        <v>168</v>
      </c>
      <c r="H28" s="6" t="s">
        <v>180</v>
      </c>
      <c r="I28" s="8" t="str">
        <f>IFERROR(VLOOKUP(R[0]C[-3],'Author-Period'!C[-8]:C[-6],3,false), "unknown")</f>
        <v>#ERROR!</v>
      </c>
      <c r="J28" s="6" t="s">
        <v>22</v>
      </c>
      <c r="K28" s="6" t="s">
        <v>186</v>
      </c>
      <c r="L28" s="6" t="s">
        <v>24</v>
      </c>
      <c r="M28" s="9">
        <v>123801.0</v>
      </c>
      <c r="N28" s="10">
        <v>1921.0</v>
      </c>
      <c r="O28" s="10">
        <v>1921.0</v>
      </c>
      <c r="P28" s="6" t="s">
        <v>118</v>
      </c>
      <c r="Q28" s="11" t="s">
        <v>187</v>
      </c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5" t="s">
        <v>188</v>
      </c>
      <c r="B29" s="5">
        <f t="shared" si="1"/>
        <v>28</v>
      </c>
      <c r="C29" s="5" t="s">
        <v>189</v>
      </c>
      <c r="D29" s="6" t="s">
        <v>190</v>
      </c>
      <c r="E29" s="7" t="str">
        <f t="shared" si="2"/>
        <v>Fran Jaklič  - Lepi Tonček</v>
      </c>
      <c r="F29" s="6" t="str">
        <f t="shared" si="3"/>
        <v>Fran Jaklič</v>
      </c>
      <c r="G29" s="6" t="s">
        <v>168</v>
      </c>
      <c r="H29" s="6" t="s">
        <v>191</v>
      </c>
      <c r="I29" s="8" t="str">
        <f>IFERROR(VLOOKUP(R[0]C[-3],'Author-Period'!C[-8]:C[-6],3,false), "unknown")</f>
        <v>#ERROR!</v>
      </c>
      <c r="J29" s="6" t="s">
        <v>22</v>
      </c>
      <c r="K29" s="6" t="s">
        <v>192</v>
      </c>
      <c r="L29" s="6" t="s">
        <v>24</v>
      </c>
      <c r="M29" s="9">
        <v>22056.0</v>
      </c>
      <c r="N29" s="10">
        <v>1895.0</v>
      </c>
      <c r="O29" s="10">
        <v>1895.0</v>
      </c>
      <c r="P29" s="6" t="s">
        <v>193</v>
      </c>
      <c r="Q29" s="11" t="s">
        <v>26</v>
      </c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5" t="s">
        <v>194</v>
      </c>
      <c r="B30" s="5">
        <f t="shared" si="1"/>
        <v>29</v>
      </c>
      <c r="C30" s="5" t="s">
        <v>195</v>
      </c>
      <c r="D30" s="6" t="s">
        <v>196</v>
      </c>
      <c r="E30" s="7" t="str">
        <f t="shared" si="2"/>
        <v>Fran Jaklič  - Luka Vrbec</v>
      </c>
      <c r="F30" s="6" t="str">
        <f t="shared" si="3"/>
        <v>Fran Jaklič</v>
      </c>
      <c r="G30" s="6" t="s">
        <v>168</v>
      </c>
      <c r="H30" s="6" t="s">
        <v>191</v>
      </c>
      <c r="I30" s="8" t="str">
        <f>IFERROR(VLOOKUP(R[0]C[-3],'Author-Period'!C[-8]:C[-6],3,false), "unknown")</f>
        <v>#ERROR!</v>
      </c>
      <c r="J30" s="6" t="s">
        <v>22</v>
      </c>
      <c r="K30" s="6" t="s">
        <v>197</v>
      </c>
      <c r="L30" s="6" t="s">
        <v>24</v>
      </c>
      <c r="M30" s="9">
        <v>21773.0</v>
      </c>
      <c r="N30" s="10">
        <v>1890.0</v>
      </c>
      <c r="O30" s="10">
        <v>1890.0</v>
      </c>
      <c r="P30" s="6" t="s">
        <v>198</v>
      </c>
      <c r="Q30" s="11" t="s">
        <v>26</v>
      </c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5" t="s">
        <v>199</v>
      </c>
      <c r="B31" s="5">
        <f t="shared" si="1"/>
        <v>30</v>
      </c>
      <c r="C31" s="5" t="s">
        <v>200</v>
      </c>
      <c r="D31" s="6" t="s">
        <v>201</v>
      </c>
      <c r="E31" s="7" t="str">
        <f t="shared" si="2"/>
        <v>Fran Knaflič  - Ob Balkanu</v>
      </c>
      <c r="F31" s="6" t="str">
        <f t="shared" si="3"/>
        <v>Fran Knaflič</v>
      </c>
      <c r="G31" s="6" t="s">
        <v>168</v>
      </c>
      <c r="H31" s="6" t="s">
        <v>202</v>
      </c>
      <c r="I31" s="8" t="str">
        <f>IFERROR(VLOOKUP(R[0]C[-3],'Author-Period'!C[-8]:C[-6],3,false), "unknown")</f>
        <v>#ERROR!</v>
      </c>
      <c r="J31" s="6" t="s">
        <v>22</v>
      </c>
      <c r="K31" s="6" t="s">
        <v>203</v>
      </c>
      <c r="L31" s="6" t="s">
        <v>24</v>
      </c>
      <c r="M31" s="9">
        <v>74542.0</v>
      </c>
      <c r="N31" s="10">
        <v>1898.0</v>
      </c>
      <c r="O31" s="10">
        <v>1898.0</v>
      </c>
      <c r="P31" s="6" t="s">
        <v>204</v>
      </c>
      <c r="Q31" s="11" t="s">
        <v>26</v>
      </c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5" t="s">
        <v>205</v>
      </c>
      <c r="B32" s="5">
        <f t="shared" si="1"/>
        <v>31</v>
      </c>
      <c r="C32" s="5" t="s">
        <v>206</v>
      </c>
      <c r="D32" s="6" t="s">
        <v>207</v>
      </c>
      <c r="E32" s="7" t="str">
        <f t="shared" si="2"/>
        <v>Fran Maselj Podlimbarski  - Gospodin Franjo</v>
      </c>
      <c r="F32" s="6" t="str">
        <f t="shared" si="3"/>
        <v>Fran Maselj Podlimbarski</v>
      </c>
      <c r="G32" s="6" t="s">
        <v>168</v>
      </c>
      <c r="H32" s="6" t="s">
        <v>208</v>
      </c>
      <c r="I32" s="8" t="str">
        <f>IFERROR(VLOOKUP(R[0]C[-3],'Author-Period'!C[-8]:C[-6],3,false), "unknown")</f>
        <v>#ERROR!</v>
      </c>
      <c r="J32" s="6" t="s">
        <v>22</v>
      </c>
      <c r="K32" s="6" t="s">
        <v>209</v>
      </c>
      <c r="L32" s="6" t="s">
        <v>24</v>
      </c>
      <c r="M32" s="9">
        <v>173960.0</v>
      </c>
      <c r="N32" s="10">
        <v>1913.0</v>
      </c>
      <c r="O32" s="10">
        <v>1913.0</v>
      </c>
      <c r="P32" s="6" t="s">
        <v>210</v>
      </c>
      <c r="Q32" s="11" t="s">
        <v>26</v>
      </c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5" t="s">
        <v>211</v>
      </c>
      <c r="B33" s="5">
        <f t="shared" si="1"/>
        <v>32</v>
      </c>
      <c r="C33" s="5" t="s">
        <v>212</v>
      </c>
      <c r="D33" s="6" t="s">
        <v>213</v>
      </c>
      <c r="E33" s="7" t="str">
        <f t="shared" si="2"/>
        <v>Fran Maselj Podlimbarski  - Povest Ivana Polaja</v>
      </c>
      <c r="F33" s="6" t="str">
        <f t="shared" si="3"/>
        <v>Fran Maselj Podlimbarski</v>
      </c>
      <c r="G33" s="6" t="s">
        <v>168</v>
      </c>
      <c r="H33" s="6" t="s">
        <v>208</v>
      </c>
      <c r="I33" s="8" t="str">
        <f>IFERROR(VLOOKUP(R[0]C[-3],'Author-Period'!C[-8]:C[-6],3,false), "unknown")</f>
        <v>#ERROR!</v>
      </c>
      <c r="J33" s="6" t="s">
        <v>22</v>
      </c>
      <c r="K33" s="6" t="s">
        <v>214</v>
      </c>
      <c r="L33" s="6" t="s">
        <v>24</v>
      </c>
      <c r="M33" s="9">
        <v>48224.0</v>
      </c>
      <c r="N33" s="10">
        <v>1909.0</v>
      </c>
      <c r="O33" s="10">
        <v>1909.0</v>
      </c>
      <c r="P33" s="6" t="s">
        <v>215</v>
      </c>
      <c r="Q33" s="11" t="s">
        <v>26</v>
      </c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5" t="s">
        <v>216</v>
      </c>
      <c r="B34" s="5">
        <f t="shared" si="1"/>
        <v>33</v>
      </c>
      <c r="C34" s="5" t="s">
        <v>217</v>
      </c>
      <c r="D34" s="6" t="s">
        <v>218</v>
      </c>
      <c r="E34" s="7" t="str">
        <f t="shared" si="2"/>
        <v>Fran Milčinski  - Gospodična Mici</v>
      </c>
      <c r="F34" s="6" t="str">
        <f t="shared" si="3"/>
        <v>Fran Milčinski</v>
      </c>
      <c r="G34" s="6" t="s">
        <v>168</v>
      </c>
      <c r="H34" s="6" t="s">
        <v>219</v>
      </c>
      <c r="I34" s="8" t="str">
        <f>IFERROR(VLOOKUP(R[0]C[-3],'Author-Period'!C[-8]:C[-6],3,false), "unknown")</f>
        <v>#ERROR!</v>
      </c>
      <c r="J34" s="6" t="s">
        <v>22</v>
      </c>
      <c r="K34" s="6" t="s">
        <v>220</v>
      </c>
      <c r="L34" s="6" t="s">
        <v>24</v>
      </c>
      <c r="M34" s="9">
        <v>22119.0</v>
      </c>
      <c r="N34" s="10">
        <v>1916.0</v>
      </c>
      <c r="O34" s="10">
        <v>1916.0</v>
      </c>
      <c r="P34" s="6" t="s">
        <v>221</v>
      </c>
      <c r="Q34" s="11" t="s">
        <v>26</v>
      </c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5" t="s">
        <v>222</v>
      </c>
      <c r="B35" s="5">
        <f t="shared" si="1"/>
        <v>34</v>
      </c>
      <c r="C35" s="5" t="s">
        <v>223</v>
      </c>
      <c r="D35" s="6" t="s">
        <v>224</v>
      </c>
      <c r="E35" s="7" t="str">
        <f t="shared" si="2"/>
        <v>Fran Milčinski  - Ptički brez gnezda</v>
      </c>
      <c r="F35" s="6" t="str">
        <f t="shared" si="3"/>
        <v>Fran Milčinski</v>
      </c>
      <c r="G35" s="6" t="s">
        <v>168</v>
      </c>
      <c r="H35" s="6" t="s">
        <v>219</v>
      </c>
      <c r="I35" s="8" t="str">
        <f>IFERROR(VLOOKUP(R[0]C[-3],'Author-Period'!C[-8]:C[-6],3,false), "unknown")</f>
        <v>#ERROR!</v>
      </c>
      <c r="J35" s="6" t="s">
        <v>22</v>
      </c>
      <c r="K35" s="6" t="s">
        <v>225</v>
      </c>
      <c r="L35" s="6" t="s">
        <v>24</v>
      </c>
      <c r="M35" s="9">
        <v>79061.0</v>
      </c>
      <c r="N35" s="10">
        <v>1918.0</v>
      </c>
      <c r="O35" s="10">
        <v>1918.0</v>
      </c>
      <c r="P35" s="6" t="s">
        <v>226</v>
      </c>
      <c r="Q35" s="11" t="s">
        <v>26</v>
      </c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5" t="s">
        <v>227</v>
      </c>
      <c r="B36" s="5">
        <f t="shared" si="1"/>
        <v>35</v>
      </c>
      <c r="C36" s="5" t="s">
        <v>228</v>
      </c>
      <c r="D36" s="6" t="s">
        <v>229</v>
      </c>
      <c r="E36" s="7" t="str">
        <f t="shared" si="2"/>
        <v>Fran Saleški Finžgar  - Dekla Ančka</v>
      </c>
      <c r="F36" s="6" t="str">
        <f t="shared" si="3"/>
        <v>Fran Saleški Finžgar</v>
      </c>
      <c r="G36" s="6" t="s">
        <v>168</v>
      </c>
      <c r="H36" s="6" t="s">
        <v>230</v>
      </c>
      <c r="I36" s="8" t="str">
        <f>IFERROR(VLOOKUP(R[0]C[-3],'Author-Period'!C[-8]:C[-6],3,false), "unknown")</f>
        <v>#ERROR!</v>
      </c>
      <c r="J36" s="6" t="s">
        <v>22</v>
      </c>
      <c r="K36" s="6" t="s">
        <v>231</v>
      </c>
      <c r="L36" s="6" t="s">
        <v>24</v>
      </c>
      <c r="M36" s="9">
        <v>26118.0</v>
      </c>
      <c r="N36" s="10">
        <v>1913.0</v>
      </c>
      <c r="O36" s="10">
        <v>1913.0</v>
      </c>
      <c r="P36" s="6" t="s">
        <v>232</v>
      </c>
      <c r="Q36" s="11" t="s">
        <v>26</v>
      </c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5" t="s">
        <v>233</v>
      </c>
      <c r="B37" s="5">
        <f t="shared" si="1"/>
        <v>36</v>
      </c>
      <c r="C37" s="5" t="s">
        <v>234</v>
      </c>
      <c r="D37" s="6" t="s">
        <v>235</v>
      </c>
      <c r="E37" s="7" t="str">
        <f t="shared" si="2"/>
        <v>Fran Saleški Finžgar  - Sama</v>
      </c>
      <c r="F37" s="6" t="str">
        <f t="shared" si="3"/>
        <v>Fran Saleški Finžgar</v>
      </c>
      <c r="G37" s="6" t="s">
        <v>168</v>
      </c>
      <c r="H37" s="6" t="s">
        <v>230</v>
      </c>
      <c r="I37" s="8" t="str">
        <f>IFERROR(VLOOKUP(R[0]C[-3],'Author-Period'!C[-8]:C[-6],3,false), "unknown")</f>
        <v>#ERROR!</v>
      </c>
      <c r="J37" s="6" t="s">
        <v>22</v>
      </c>
      <c r="K37" s="6" t="s">
        <v>236</v>
      </c>
      <c r="L37" s="6" t="s">
        <v>24</v>
      </c>
      <c r="M37" s="9">
        <v>50286.0</v>
      </c>
      <c r="N37" s="10">
        <v>1912.0</v>
      </c>
      <c r="O37" s="10">
        <v>1912.0</v>
      </c>
      <c r="P37" s="6" t="s">
        <v>237</v>
      </c>
      <c r="Q37" s="11" t="s">
        <v>26</v>
      </c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5" t="s">
        <v>238</v>
      </c>
      <c r="B38" s="5">
        <f t="shared" si="1"/>
        <v>37</v>
      </c>
      <c r="C38" s="5" t="s">
        <v>239</v>
      </c>
      <c r="D38" s="6" t="s">
        <v>240</v>
      </c>
      <c r="E38" s="7" t="str">
        <f t="shared" si="2"/>
        <v>Fran Zbašnik  - Pisana mati</v>
      </c>
      <c r="F38" s="6" t="str">
        <f t="shared" si="3"/>
        <v>Fran Zbašnik</v>
      </c>
      <c r="G38" s="6" t="s">
        <v>168</v>
      </c>
      <c r="H38" s="6" t="s">
        <v>241</v>
      </c>
      <c r="I38" s="8" t="str">
        <f>IFERROR(VLOOKUP(R[0]C[-3],'Author-Period'!C[-8]:C[-6],3,false), "unknown")</f>
        <v>#ERROR!</v>
      </c>
      <c r="J38" s="6" t="s">
        <v>22</v>
      </c>
      <c r="K38" s="6" t="s">
        <v>242</v>
      </c>
      <c r="L38" s="6" t="s">
        <v>24</v>
      </c>
      <c r="M38" s="9">
        <v>70062.0</v>
      </c>
      <c r="N38" s="10">
        <v>1909.0</v>
      </c>
      <c r="O38" s="10">
        <v>1909.0</v>
      </c>
      <c r="P38" s="6" t="s">
        <v>243</v>
      </c>
      <c r="Q38" s="11" t="s">
        <v>26</v>
      </c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5" t="s">
        <v>244</v>
      </c>
      <c r="B39" s="5">
        <f t="shared" si="1"/>
        <v>38</v>
      </c>
      <c r="C39" s="5" t="s">
        <v>245</v>
      </c>
      <c r="D39" s="6" t="s">
        <v>246</v>
      </c>
      <c r="E39" s="7" t="str">
        <f t="shared" si="2"/>
        <v>Fran Zbašnik  - Prijateljstvo in ljubezen</v>
      </c>
      <c r="F39" s="6" t="str">
        <f t="shared" si="3"/>
        <v>Fran Zbašnik</v>
      </c>
      <c r="G39" s="6" t="s">
        <v>168</v>
      </c>
      <c r="H39" s="6" t="s">
        <v>241</v>
      </c>
      <c r="I39" s="8" t="str">
        <f>IFERROR(VLOOKUP(R[0]C[-3],'Author-Period'!C[-8]:C[-6],3,false), "unknown")</f>
        <v>#ERROR!</v>
      </c>
      <c r="J39" s="6" t="s">
        <v>22</v>
      </c>
      <c r="K39" s="6" t="s">
        <v>247</v>
      </c>
      <c r="L39" s="6" t="s">
        <v>24</v>
      </c>
      <c r="M39" s="9">
        <v>44660.0</v>
      </c>
      <c r="N39" s="10">
        <v>1904.0</v>
      </c>
      <c r="O39" s="10">
        <v>1904.0</v>
      </c>
      <c r="P39" s="6" t="s">
        <v>248</v>
      </c>
      <c r="Q39" s="11" t="s">
        <v>26</v>
      </c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5" t="s">
        <v>249</v>
      </c>
      <c r="B40" s="5">
        <f t="shared" si="1"/>
        <v>39</v>
      </c>
      <c r="C40" s="5" t="s">
        <v>250</v>
      </c>
      <c r="D40" s="6" t="s">
        <v>251</v>
      </c>
      <c r="E40" s="7" t="str">
        <f t="shared" si="2"/>
        <v>Franc Ksaver Meško  - Na Poljani</v>
      </c>
      <c r="F40" s="6" t="str">
        <f t="shared" si="3"/>
        <v>Franc Ksaver Meško</v>
      </c>
      <c r="G40" s="6" t="s">
        <v>252</v>
      </c>
      <c r="H40" s="6" t="s">
        <v>253</v>
      </c>
      <c r="I40" s="8" t="str">
        <f>IFERROR(VLOOKUP(R[0]C[-3],'Author-Period'!C[-8]:C[-6],3,false), "unknown")</f>
        <v>#ERROR!</v>
      </c>
      <c r="J40" s="6" t="s">
        <v>22</v>
      </c>
      <c r="K40" s="6" t="s">
        <v>254</v>
      </c>
      <c r="L40" s="6" t="s">
        <v>24</v>
      </c>
      <c r="M40" s="9">
        <v>61168.0</v>
      </c>
      <c r="N40" s="10">
        <v>1907.0</v>
      </c>
      <c r="O40" s="10">
        <v>1907.0</v>
      </c>
      <c r="P40" s="6" t="s">
        <v>255</v>
      </c>
      <c r="Q40" s="11" t="s">
        <v>26</v>
      </c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5" t="s">
        <v>256</v>
      </c>
      <c r="B41" s="5">
        <f t="shared" si="1"/>
        <v>40</v>
      </c>
      <c r="C41" s="5" t="s">
        <v>257</v>
      </c>
      <c r="D41" s="6" t="s">
        <v>258</v>
      </c>
      <c r="E41" s="7" t="str">
        <f t="shared" si="2"/>
        <v>Franc Rant  - Na rodnih tleh</v>
      </c>
      <c r="F41" s="6" t="str">
        <f t="shared" si="3"/>
        <v>Franc Rant</v>
      </c>
      <c r="G41" s="6" t="s">
        <v>252</v>
      </c>
      <c r="H41" s="6" t="s">
        <v>259</v>
      </c>
      <c r="I41" s="8" t="str">
        <f>IFERROR(VLOOKUP(R[0]C[-3],'Author-Period'!C[-8]:C[-6],3,false), "unknown")</f>
        <v>#ERROR!</v>
      </c>
      <c r="J41" s="6" t="s">
        <v>22</v>
      </c>
      <c r="K41" s="6" t="s">
        <v>260</v>
      </c>
      <c r="L41" s="6" t="s">
        <v>24</v>
      </c>
      <c r="M41" s="9">
        <v>43178.0</v>
      </c>
      <c r="N41" s="10">
        <v>1908.0</v>
      </c>
      <c r="O41" s="10">
        <v>1908.0</v>
      </c>
      <c r="P41" s="6" t="s">
        <v>261</v>
      </c>
      <c r="Q41" s="11" t="s">
        <v>26</v>
      </c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5" t="s">
        <v>262</v>
      </c>
      <c r="B42" s="5">
        <f t="shared" si="1"/>
        <v>41</v>
      </c>
      <c r="C42" s="5" t="s">
        <v>263</v>
      </c>
      <c r="D42" s="6" t="s">
        <v>264</v>
      </c>
      <c r="E42" s="7" t="str">
        <f t="shared" si="2"/>
        <v>Franc Slemenik  - Izdajavec</v>
      </c>
      <c r="F42" s="6" t="str">
        <f t="shared" si="3"/>
        <v>Franc Slemenik</v>
      </c>
      <c r="G42" s="6" t="s">
        <v>252</v>
      </c>
      <c r="H42" s="6" t="s">
        <v>265</v>
      </c>
      <c r="I42" s="8" t="str">
        <f>IFERROR(VLOOKUP(R[0]C[-3],'Author-Period'!C[-8]:C[-6],3,false), "unknown")</f>
        <v>#ERROR!</v>
      </c>
      <c r="J42" s="6" t="s">
        <v>22</v>
      </c>
      <c r="K42" s="6" t="s">
        <v>266</v>
      </c>
      <c r="L42" s="6" t="s">
        <v>24</v>
      </c>
      <c r="M42" s="9">
        <v>47585.0</v>
      </c>
      <c r="N42" s="10">
        <v>1873.0</v>
      </c>
      <c r="O42" s="10">
        <v>1873.0</v>
      </c>
      <c r="P42" s="6" t="s">
        <v>267</v>
      </c>
      <c r="Q42" s="11" t="s">
        <v>26</v>
      </c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5" t="s">
        <v>268</v>
      </c>
      <c r="B43" s="5">
        <f t="shared" si="1"/>
        <v>42</v>
      </c>
      <c r="C43" s="5" t="s">
        <v>269</v>
      </c>
      <c r="D43" s="6" t="s">
        <v>270</v>
      </c>
      <c r="E43" s="7" t="str">
        <f t="shared" si="2"/>
        <v>Franc Slemenik  - Križem sveta</v>
      </c>
      <c r="F43" s="6" t="str">
        <f t="shared" si="3"/>
        <v>Franc Slemenik</v>
      </c>
      <c r="G43" s="6" t="s">
        <v>252</v>
      </c>
      <c r="H43" s="6" t="s">
        <v>265</v>
      </c>
      <c r="I43" s="8" t="str">
        <f>IFERROR(VLOOKUP(R[0]C[-3],'Author-Period'!C[-8]:C[-6],3,false), "unknown")</f>
        <v>#ERROR!</v>
      </c>
      <c r="J43" s="6" t="s">
        <v>22</v>
      </c>
      <c r="K43" s="6" t="s">
        <v>271</v>
      </c>
      <c r="L43" s="6" t="s">
        <v>24</v>
      </c>
      <c r="M43" s="9">
        <v>30261.0</v>
      </c>
      <c r="N43" s="10">
        <v>1877.0</v>
      </c>
      <c r="O43" s="10">
        <v>1877.0</v>
      </c>
      <c r="P43" s="6" t="s">
        <v>272</v>
      </c>
      <c r="Q43" s="11" t="s">
        <v>26</v>
      </c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5" t="s">
        <v>273</v>
      </c>
      <c r="B44" s="5">
        <f t="shared" si="1"/>
        <v>43</v>
      </c>
      <c r="C44" s="8"/>
      <c r="D44" s="6"/>
      <c r="E44" s="7" t="str">
        <f t="shared" si="2"/>
        <v>France Bevk  - Človek brez krinke</v>
      </c>
      <c r="F44" s="6" t="str">
        <f t="shared" si="3"/>
        <v>France Bevk</v>
      </c>
      <c r="G44" s="6" t="s">
        <v>274</v>
      </c>
      <c r="H44" s="6" t="s">
        <v>275</v>
      </c>
      <c r="I44" s="8" t="str">
        <f>IFERROR(VLOOKUP(R[0]C[-3],'Author-Period'!C[-8]:C[-6],3,false), "unknown")</f>
        <v>#ERROR!</v>
      </c>
      <c r="J44" s="6" t="s">
        <v>22</v>
      </c>
      <c r="K44" s="6" t="s">
        <v>276</v>
      </c>
      <c r="L44" s="6" t="s">
        <v>277</v>
      </c>
      <c r="M44" s="9">
        <v>35293.0</v>
      </c>
      <c r="N44" s="10">
        <v>1934.0</v>
      </c>
      <c r="O44" s="10">
        <v>1934.0</v>
      </c>
      <c r="P44" s="11" t="s">
        <v>278</v>
      </c>
      <c r="Q44" s="6" t="s">
        <v>279</v>
      </c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5" t="s">
        <v>280</v>
      </c>
      <c r="B45" s="5">
        <f t="shared" si="1"/>
        <v>44</v>
      </c>
      <c r="C45" s="8"/>
      <c r="D45" s="6"/>
      <c r="E45" s="7" t="str">
        <f t="shared" si="2"/>
        <v>France Bevk  - Povest male Dore</v>
      </c>
      <c r="F45" s="6" t="str">
        <f t="shared" si="3"/>
        <v>France Bevk</v>
      </c>
      <c r="G45" s="6" t="s">
        <v>274</v>
      </c>
      <c r="H45" s="6" t="s">
        <v>275</v>
      </c>
      <c r="I45" s="8" t="str">
        <f>IFERROR(VLOOKUP(R[0]C[-3],'Author-Period'!C[-8]:C[-6],3,false), "unknown")</f>
        <v>#ERROR!</v>
      </c>
      <c r="J45" s="6" t="s">
        <v>22</v>
      </c>
      <c r="K45" s="6" t="s">
        <v>281</v>
      </c>
      <c r="L45" s="6" t="s">
        <v>277</v>
      </c>
      <c r="M45" s="9">
        <v>26312.0</v>
      </c>
      <c r="N45" s="10">
        <v>1926.0</v>
      </c>
      <c r="O45" s="10">
        <v>1926.0</v>
      </c>
      <c r="P45" s="11" t="s">
        <v>282</v>
      </c>
      <c r="Q45" s="6" t="s">
        <v>279</v>
      </c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5" t="s">
        <v>283</v>
      </c>
      <c r="B46" s="5">
        <f t="shared" si="1"/>
        <v>45</v>
      </c>
      <c r="C46" s="5" t="s">
        <v>284</v>
      </c>
      <c r="D46" s="6" t="s">
        <v>285</v>
      </c>
      <c r="E46" s="7" t="str">
        <f t="shared" si="2"/>
        <v>Ivan Cankar  - Gospa Judit</v>
      </c>
      <c r="F46" s="6" t="str">
        <f t="shared" si="3"/>
        <v>Ivan Cankar</v>
      </c>
      <c r="G46" s="6" t="s">
        <v>286</v>
      </c>
      <c r="H46" s="6" t="s">
        <v>287</v>
      </c>
      <c r="I46" s="8" t="str">
        <f>IFERROR(VLOOKUP(R[0]C[-3],'Author-Period'!C[-8]:C[-6],3,false), "unknown")</f>
        <v>#ERROR!</v>
      </c>
      <c r="J46" s="6" t="s">
        <v>22</v>
      </c>
      <c r="K46" s="6" t="s">
        <v>288</v>
      </c>
      <c r="L46" s="6" t="s">
        <v>24</v>
      </c>
      <c r="M46" s="9">
        <v>28749.0</v>
      </c>
      <c r="N46" s="10">
        <v>1904.0</v>
      </c>
      <c r="O46" s="10">
        <v>1904.0</v>
      </c>
      <c r="P46" s="6" t="s">
        <v>289</v>
      </c>
      <c r="Q46" s="11" t="s">
        <v>26</v>
      </c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5" t="s">
        <v>290</v>
      </c>
      <c r="B47" s="5">
        <f t="shared" si="1"/>
        <v>46</v>
      </c>
      <c r="C47" s="5" t="s">
        <v>291</v>
      </c>
      <c r="D47" s="6" t="s">
        <v>292</v>
      </c>
      <c r="E47" s="7" t="str">
        <f t="shared" si="2"/>
        <v>Ivan Cankar  - Milan in Milena</v>
      </c>
      <c r="F47" s="6" t="str">
        <f t="shared" si="3"/>
        <v>Ivan Cankar</v>
      </c>
      <c r="G47" s="6" t="s">
        <v>286</v>
      </c>
      <c r="H47" s="6" t="s">
        <v>287</v>
      </c>
      <c r="I47" s="8" t="str">
        <f>IFERROR(VLOOKUP(R[0]C[-3],'Author-Period'!C[-8]:C[-6],3,false), "unknown")</f>
        <v>#ERROR!</v>
      </c>
      <c r="J47" s="6" t="s">
        <v>22</v>
      </c>
      <c r="K47" s="6" t="s">
        <v>293</v>
      </c>
      <c r="L47" s="6" t="s">
        <v>24</v>
      </c>
      <c r="M47" s="9">
        <v>24578.0</v>
      </c>
      <c r="N47" s="10">
        <v>1913.0</v>
      </c>
      <c r="O47" s="10">
        <v>1913.0</v>
      </c>
      <c r="P47" s="6" t="s">
        <v>294</v>
      </c>
      <c r="Q47" s="11" t="s">
        <v>26</v>
      </c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5" t="s">
        <v>295</v>
      </c>
      <c r="B48" s="5">
        <f t="shared" si="1"/>
        <v>47</v>
      </c>
      <c r="C48" s="5" t="s">
        <v>296</v>
      </c>
      <c r="D48" s="6" t="s">
        <v>73</v>
      </c>
      <c r="E48" s="7" t="str">
        <f t="shared" si="2"/>
        <v>Ivan Cankar  - Zgodba o dveh mladih ljudeh</v>
      </c>
      <c r="F48" s="6" t="str">
        <f t="shared" si="3"/>
        <v>Ivan Cankar</v>
      </c>
      <c r="G48" s="6" t="s">
        <v>286</v>
      </c>
      <c r="H48" s="6" t="s">
        <v>287</v>
      </c>
      <c r="I48" s="8" t="str">
        <f>IFERROR(VLOOKUP(R[0]C[-3],'Author-Period'!C[-8]:C[-6],3,false), "unknown")</f>
        <v>#ERROR!</v>
      </c>
      <c r="J48" s="6" t="s">
        <v>22</v>
      </c>
      <c r="K48" s="6" t="s">
        <v>297</v>
      </c>
      <c r="L48" s="6" t="s">
        <v>24</v>
      </c>
      <c r="M48" s="9">
        <v>19473.0</v>
      </c>
      <c r="N48" s="9">
        <v>1911.0</v>
      </c>
      <c r="O48" s="9">
        <v>1911.0</v>
      </c>
      <c r="P48" s="13" t="s">
        <v>298</v>
      </c>
      <c r="Q48" s="13" t="s">
        <v>299</v>
      </c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5" t="s">
        <v>300</v>
      </c>
      <c r="B49" s="5">
        <f t="shared" si="1"/>
        <v>48</v>
      </c>
      <c r="C49" s="5" t="s">
        <v>301</v>
      </c>
      <c r="D49" s="6" t="s">
        <v>302</v>
      </c>
      <c r="E49" s="7" t="str">
        <f t="shared" si="2"/>
        <v>Ivan Fajdiga  - Nebesa</v>
      </c>
      <c r="F49" s="6" t="str">
        <f t="shared" si="3"/>
        <v>Ivan Fajdiga</v>
      </c>
      <c r="G49" s="6" t="s">
        <v>286</v>
      </c>
      <c r="H49" s="6" t="s">
        <v>303</v>
      </c>
      <c r="I49" s="8" t="str">
        <f>IFERROR(VLOOKUP(R[0]C[-3],'Author-Period'!C[-8]:C[-6],3,false), "unknown")</f>
        <v>#ERROR!</v>
      </c>
      <c r="J49" s="6" t="s">
        <v>22</v>
      </c>
      <c r="K49" s="6" t="s">
        <v>304</v>
      </c>
      <c r="L49" s="6" t="s">
        <v>24</v>
      </c>
      <c r="M49" s="9">
        <v>38268.0</v>
      </c>
      <c r="N49" s="10">
        <v>1905.0</v>
      </c>
      <c r="O49" s="10">
        <v>1905.0</v>
      </c>
      <c r="P49" s="6" t="s">
        <v>305</v>
      </c>
      <c r="Q49" s="11" t="s">
        <v>26</v>
      </c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5" t="s">
        <v>306</v>
      </c>
      <c r="B50" s="5">
        <f t="shared" si="1"/>
        <v>49</v>
      </c>
      <c r="C50" s="5" t="s">
        <v>295</v>
      </c>
      <c r="D50" s="6" t="s">
        <v>307</v>
      </c>
      <c r="E50" s="7" t="str">
        <f t="shared" si="2"/>
        <v>Ivan Janežič-Kraljev  - Gospa s pristave</v>
      </c>
      <c r="F50" s="6" t="str">
        <f t="shared" si="3"/>
        <v>Ivan Janežič-Kraljev</v>
      </c>
      <c r="G50" s="6" t="s">
        <v>286</v>
      </c>
      <c r="H50" s="6" t="s">
        <v>308</v>
      </c>
      <c r="I50" s="8" t="str">
        <f>IFERROR(VLOOKUP(R[0]C[-3],'Author-Period'!C[-8]:C[-6],3,false), "unknown")</f>
        <v>#ERROR!</v>
      </c>
      <c r="J50" s="6" t="s">
        <v>22</v>
      </c>
      <c r="K50" s="6" t="s">
        <v>309</v>
      </c>
      <c r="L50" s="6" t="s">
        <v>24</v>
      </c>
      <c r="M50" s="9">
        <v>96449.0</v>
      </c>
      <c r="N50" s="10">
        <v>1894.0</v>
      </c>
      <c r="O50" s="10">
        <v>1894.0</v>
      </c>
      <c r="P50" s="6" t="s">
        <v>310</v>
      </c>
      <c r="Q50" s="11" t="s">
        <v>26</v>
      </c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5" t="s">
        <v>311</v>
      </c>
      <c r="B51" s="5">
        <f t="shared" si="1"/>
        <v>50</v>
      </c>
      <c r="C51" s="5" t="s">
        <v>312</v>
      </c>
      <c r="D51" s="6" t="s">
        <v>313</v>
      </c>
      <c r="E51" s="7" t="str">
        <f t="shared" si="2"/>
        <v>Ivan Lah  - Iz časov romantike</v>
      </c>
      <c r="F51" s="6" t="str">
        <f t="shared" si="3"/>
        <v>Ivan Lah</v>
      </c>
      <c r="G51" s="6" t="s">
        <v>286</v>
      </c>
      <c r="H51" s="6" t="s">
        <v>314</v>
      </c>
      <c r="I51" s="8" t="str">
        <f>IFERROR(VLOOKUP(R[0]C[-3],'Author-Period'!C[-8]:C[-6],3,false), "unknown")</f>
        <v>#ERROR!</v>
      </c>
      <c r="J51" s="6" t="s">
        <v>22</v>
      </c>
      <c r="K51" s="6" t="s">
        <v>315</v>
      </c>
      <c r="L51" s="6" t="s">
        <v>24</v>
      </c>
      <c r="M51" s="9">
        <v>27398.0</v>
      </c>
      <c r="N51" s="10">
        <v>1906.0</v>
      </c>
      <c r="O51" s="10">
        <v>1906.0</v>
      </c>
      <c r="P51" s="6" t="s">
        <v>316</v>
      </c>
      <c r="Q51" s="11" t="s">
        <v>26</v>
      </c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5" t="s">
        <v>317</v>
      </c>
      <c r="B52" s="5">
        <f t="shared" si="1"/>
        <v>51</v>
      </c>
      <c r="C52" s="5" t="s">
        <v>300</v>
      </c>
      <c r="D52" s="6" t="s">
        <v>318</v>
      </c>
      <c r="E52" s="7" t="str">
        <f t="shared" si="2"/>
        <v>Ivan Pregelj  - Mlada Breda</v>
      </c>
      <c r="F52" s="6" t="str">
        <f t="shared" si="3"/>
        <v>Ivan Pregelj</v>
      </c>
      <c r="G52" s="6" t="s">
        <v>286</v>
      </c>
      <c r="H52" s="6" t="s">
        <v>319</v>
      </c>
      <c r="I52" s="8" t="str">
        <f>IFERROR(VLOOKUP(R[0]C[-3],'Author-Period'!C[-8]:C[-6],3,false), "unknown")</f>
        <v>#ERROR!</v>
      </c>
      <c r="J52" s="6" t="s">
        <v>22</v>
      </c>
      <c r="K52" s="6" t="s">
        <v>320</v>
      </c>
      <c r="L52" s="6" t="s">
        <v>24</v>
      </c>
      <c r="M52" s="9">
        <v>84671.0</v>
      </c>
      <c r="N52" s="10">
        <v>1913.0</v>
      </c>
      <c r="O52" s="10">
        <v>1913.0</v>
      </c>
      <c r="P52" s="6" t="s">
        <v>321</v>
      </c>
      <c r="Q52" s="11" t="s">
        <v>26</v>
      </c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5" t="s">
        <v>322</v>
      </c>
      <c r="B53" s="5">
        <f t="shared" si="1"/>
        <v>52</v>
      </c>
      <c r="C53" s="5" t="s">
        <v>323</v>
      </c>
      <c r="D53" s="6" t="s">
        <v>324</v>
      </c>
      <c r="E53" s="7" t="str">
        <f t="shared" si="2"/>
        <v>Ivan Tavčar  - Cvetje v jeseni</v>
      </c>
      <c r="F53" s="6" t="str">
        <f t="shared" si="3"/>
        <v>Ivan Tavčar</v>
      </c>
      <c r="G53" s="6" t="s">
        <v>286</v>
      </c>
      <c r="H53" s="6" t="s">
        <v>325</v>
      </c>
      <c r="I53" s="8" t="str">
        <f>IFERROR(VLOOKUP(R[0]C[-3],'Author-Period'!C[-8]:C[-6],3,false), "unknown")</f>
        <v>#ERROR!</v>
      </c>
      <c r="J53" s="6" t="s">
        <v>22</v>
      </c>
      <c r="K53" s="6" t="s">
        <v>326</v>
      </c>
      <c r="L53" s="6" t="s">
        <v>24</v>
      </c>
      <c r="M53" s="9">
        <v>26475.0</v>
      </c>
      <c r="N53" s="10">
        <v>1917.0</v>
      </c>
      <c r="O53" s="10">
        <v>1917.0</v>
      </c>
      <c r="P53" s="6" t="s">
        <v>327</v>
      </c>
      <c r="Q53" s="11" t="s">
        <v>26</v>
      </c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5" t="s">
        <v>328</v>
      </c>
      <c r="B54" s="5">
        <f t="shared" si="1"/>
        <v>53</v>
      </c>
      <c r="C54" s="5" t="s">
        <v>329</v>
      </c>
      <c r="D54" s="6" t="s">
        <v>330</v>
      </c>
      <c r="E54" s="7" t="str">
        <f t="shared" si="2"/>
        <v>Ivan Tavčar  - Janez Solnce</v>
      </c>
      <c r="F54" s="6" t="str">
        <f t="shared" si="3"/>
        <v>Ivan Tavčar</v>
      </c>
      <c r="G54" s="6" t="s">
        <v>286</v>
      </c>
      <c r="H54" s="6" t="s">
        <v>325</v>
      </c>
      <c r="I54" s="8" t="str">
        <f>IFERROR(VLOOKUP(R[0]C[-3],'Author-Period'!C[-8]:C[-6],3,false), "unknown")</f>
        <v>#ERROR!</v>
      </c>
      <c r="J54" s="6" t="s">
        <v>22</v>
      </c>
      <c r="K54" s="6" t="s">
        <v>331</v>
      </c>
      <c r="L54" s="6" t="s">
        <v>24</v>
      </c>
      <c r="M54" s="9">
        <v>52171.0</v>
      </c>
      <c r="N54" s="10">
        <v>1886.0</v>
      </c>
      <c r="O54" s="10">
        <v>1886.0</v>
      </c>
      <c r="P54" s="6" t="s">
        <v>332</v>
      </c>
      <c r="Q54" s="11" t="s">
        <v>26</v>
      </c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5" t="s">
        <v>333</v>
      </c>
      <c r="B55" s="5">
        <f t="shared" si="1"/>
        <v>54</v>
      </c>
      <c r="C55" s="5" t="s">
        <v>333</v>
      </c>
      <c r="D55" s="6" t="s">
        <v>334</v>
      </c>
      <c r="E55" s="7" t="str">
        <f t="shared" si="2"/>
        <v>Ivan Vuk  - Zorislava</v>
      </c>
      <c r="F55" s="6" t="str">
        <f t="shared" si="3"/>
        <v>Ivan Vuk</v>
      </c>
      <c r="G55" s="6" t="s">
        <v>286</v>
      </c>
      <c r="H55" s="6" t="s">
        <v>335</v>
      </c>
      <c r="I55" s="8" t="str">
        <f>IFERROR(VLOOKUP(R[0]C[-3],'Author-Period'!C[-8]:C[-6],3,false), "unknown")</f>
        <v>#ERROR!</v>
      </c>
      <c r="J55" s="6" t="s">
        <v>22</v>
      </c>
      <c r="K55" s="6" t="s">
        <v>336</v>
      </c>
      <c r="L55" s="6" t="s">
        <v>24</v>
      </c>
      <c r="M55" s="9">
        <v>38198.0</v>
      </c>
      <c r="N55" s="10">
        <v>1913.0</v>
      </c>
      <c r="O55" s="10">
        <v>1913.0</v>
      </c>
      <c r="P55" s="6" t="s">
        <v>337</v>
      </c>
      <c r="Q55" s="11" t="s">
        <v>26</v>
      </c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5" t="s">
        <v>338</v>
      </c>
      <c r="B56" s="5">
        <f t="shared" si="1"/>
        <v>55</v>
      </c>
      <c r="C56" s="8"/>
      <c r="D56" s="6"/>
      <c r="E56" s="7" t="str">
        <f t="shared" si="2"/>
        <v>Ivo Šorli  - Gospa Silvija</v>
      </c>
      <c r="F56" s="6" t="str">
        <f t="shared" si="3"/>
        <v>Ivo Šorli</v>
      </c>
      <c r="G56" s="6" t="s">
        <v>339</v>
      </c>
      <c r="H56" s="6" t="s">
        <v>340</v>
      </c>
      <c r="I56" s="8" t="str">
        <f>IFERROR(VLOOKUP(R[0]C[-3],'Author-Period'!C[-8]:C[-6],3,false), "unknown")</f>
        <v>#ERROR!</v>
      </c>
      <c r="J56" s="6" t="s">
        <v>22</v>
      </c>
      <c r="K56" s="6" t="s">
        <v>341</v>
      </c>
      <c r="L56" s="6" t="s">
        <v>277</v>
      </c>
      <c r="M56" s="9">
        <v>37967.0</v>
      </c>
      <c r="N56" s="10">
        <v>1920.0</v>
      </c>
      <c r="O56" s="10">
        <v>1920.0</v>
      </c>
      <c r="P56" s="11" t="s">
        <v>342</v>
      </c>
      <c r="Q56" s="6" t="s">
        <v>279</v>
      </c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5" t="s">
        <v>343</v>
      </c>
      <c r="B57" s="5">
        <f t="shared" si="1"/>
        <v>56</v>
      </c>
      <c r="C57" s="5" t="s">
        <v>344</v>
      </c>
      <c r="D57" s="6" t="s">
        <v>345</v>
      </c>
      <c r="E57" s="7" t="str">
        <f t="shared" si="2"/>
        <v>Ivo Šorli  - Plameni</v>
      </c>
      <c r="F57" s="6" t="str">
        <f t="shared" si="3"/>
        <v>Ivo Šorli</v>
      </c>
      <c r="G57" s="6" t="s">
        <v>339</v>
      </c>
      <c r="H57" s="6" t="s">
        <v>340</v>
      </c>
      <c r="I57" s="8" t="str">
        <f>IFERROR(VLOOKUP(R[0]C[-3],'Author-Period'!C[-8]:C[-6],3,false), "unknown")</f>
        <v>#ERROR!</v>
      </c>
      <c r="J57" s="6" t="s">
        <v>22</v>
      </c>
      <c r="K57" s="6" t="s">
        <v>346</v>
      </c>
      <c r="L57" s="6" t="s">
        <v>24</v>
      </c>
      <c r="M57" s="9">
        <v>41757.0</v>
      </c>
      <c r="N57" s="10">
        <v>1905.0</v>
      </c>
      <c r="O57" s="10">
        <v>1905.0</v>
      </c>
      <c r="P57" s="6" t="s">
        <v>347</v>
      </c>
      <c r="Q57" s="11" t="s">
        <v>26</v>
      </c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5" t="s">
        <v>348</v>
      </c>
      <c r="B58" s="5">
        <f t="shared" si="1"/>
        <v>57</v>
      </c>
      <c r="C58" s="5" t="s">
        <v>349</v>
      </c>
      <c r="D58" s="6" t="s">
        <v>350</v>
      </c>
      <c r="E58" s="7" t="str">
        <f t="shared" si="2"/>
        <v>Ivo Šorli  - Romantiki življenja</v>
      </c>
      <c r="F58" s="6" t="str">
        <f t="shared" si="3"/>
        <v>Ivo Šorli</v>
      </c>
      <c r="G58" s="6" t="s">
        <v>339</v>
      </c>
      <c r="H58" s="6" t="s">
        <v>340</v>
      </c>
      <c r="I58" s="8" t="str">
        <f>IFERROR(VLOOKUP(R[0]C[-3],'Author-Period'!C[-8]:C[-6],3,false), "unknown")</f>
        <v>#ERROR!</v>
      </c>
      <c r="J58" s="6" t="s">
        <v>22</v>
      </c>
      <c r="K58" s="6" t="s">
        <v>351</v>
      </c>
      <c r="L58" s="6" t="s">
        <v>24</v>
      </c>
      <c r="M58" s="9">
        <v>27758.0</v>
      </c>
      <c r="N58" s="10">
        <v>1906.0</v>
      </c>
      <c r="O58" s="10">
        <v>1906.0</v>
      </c>
      <c r="P58" s="6" t="s">
        <v>352</v>
      </c>
      <c r="Q58" s="11" t="s">
        <v>26</v>
      </c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5" t="s">
        <v>353</v>
      </c>
      <c r="B59" s="5">
        <f t="shared" si="1"/>
        <v>58</v>
      </c>
      <c r="C59" s="5" t="s">
        <v>354</v>
      </c>
      <c r="D59" s="6" t="s">
        <v>355</v>
      </c>
      <c r="E59" s="7" t="str">
        <f t="shared" si="2"/>
        <v>Ivo Trošt  - V srca globini</v>
      </c>
      <c r="F59" s="6" t="str">
        <f t="shared" si="3"/>
        <v>Ivo Trošt</v>
      </c>
      <c r="G59" s="6" t="s">
        <v>339</v>
      </c>
      <c r="H59" s="6" t="s">
        <v>356</v>
      </c>
      <c r="I59" s="8" t="str">
        <f>IFERROR(VLOOKUP(R[0]C[-3],'Author-Period'!C[-8]:C[-6],3,false), "unknown")</f>
        <v>#ERROR!</v>
      </c>
      <c r="J59" s="6" t="s">
        <v>22</v>
      </c>
      <c r="K59" s="6" t="s">
        <v>357</v>
      </c>
      <c r="L59" s="6" t="s">
        <v>24</v>
      </c>
      <c r="M59" s="9">
        <v>24755.0</v>
      </c>
      <c r="N59" s="10">
        <v>1905.0</v>
      </c>
      <c r="O59" s="10">
        <v>1905.0</v>
      </c>
      <c r="P59" s="6" t="s">
        <v>358</v>
      </c>
      <c r="Q59" s="11" t="s">
        <v>26</v>
      </c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5" t="s">
        <v>359</v>
      </c>
      <c r="B60" s="5">
        <f t="shared" si="1"/>
        <v>59</v>
      </c>
      <c r="C60" s="8"/>
      <c r="D60" s="6"/>
      <c r="E60" s="7" t="str">
        <f t="shared" si="2"/>
        <v>Jakob Alešovec  - Kako sem se jaz likal</v>
      </c>
      <c r="F60" s="6" t="str">
        <f t="shared" si="3"/>
        <v>Jakob Alešovec</v>
      </c>
      <c r="G60" s="6" t="s">
        <v>360</v>
      </c>
      <c r="H60" s="6" t="s">
        <v>361</v>
      </c>
      <c r="I60" s="8" t="str">
        <f>IFERROR(VLOOKUP(R[0]C[-3],'Author-Period'!C[-8]:C[-6],3,false), "unknown")</f>
        <v>#ERROR!</v>
      </c>
      <c r="J60" s="6" t="s">
        <v>22</v>
      </c>
      <c r="K60" s="6" t="s">
        <v>362</v>
      </c>
      <c r="L60" s="6" t="s">
        <v>277</v>
      </c>
      <c r="M60" s="9">
        <v>106027.0</v>
      </c>
      <c r="N60" s="9">
        <v>1884.0</v>
      </c>
      <c r="O60" s="9">
        <v>1884.0</v>
      </c>
      <c r="P60" s="11" t="s">
        <v>363</v>
      </c>
      <c r="Q60" s="6" t="s">
        <v>279</v>
      </c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5" t="s">
        <v>364</v>
      </c>
      <c r="B61" s="5">
        <f t="shared" si="1"/>
        <v>60</v>
      </c>
      <c r="C61" s="5" t="s">
        <v>365</v>
      </c>
      <c r="D61" s="6" t="s">
        <v>366</v>
      </c>
      <c r="E61" s="7" t="str">
        <f t="shared" si="2"/>
        <v>Jakob Alešovec  - Ne v Ameriko!</v>
      </c>
      <c r="F61" s="6" t="str">
        <f t="shared" si="3"/>
        <v>Jakob Alešovec</v>
      </c>
      <c r="G61" s="6" t="s">
        <v>360</v>
      </c>
      <c r="H61" s="6" t="s">
        <v>361</v>
      </c>
      <c r="I61" s="8" t="str">
        <f>IFERROR(VLOOKUP(R[0]C[-3],'Author-Period'!C[-8]:C[-6],3,false), "unknown")</f>
        <v>#ERROR!</v>
      </c>
      <c r="J61" s="6" t="s">
        <v>22</v>
      </c>
      <c r="K61" s="6" t="s">
        <v>367</v>
      </c>
      <c r="L61" s="6" t="s">
        <v>24</v>
      </c>
      <c r="M61" s="9">
        <v>61379.0</v>
      </c>
      <c r="N61" s="10">
        <v>1883.0</v>
      </c>
      <c r="O61" s="10">
        <v>1883.0</v>
      </c>
      <c r="P61" s="6" t="s">
        <v>368</v>
      </c>
      <c r="Q61" s="11" t="s">
        <v>26</v>
      </c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5" t="s">
        <v>369</v>
      </c>
      <c r="B62" s="5">
        <f t="shared" si="1"/>
        <v>61</v>
      </c>
      <c r="C62" s="5" t="s">
        <v>370</v>
      </c>
      <c r="D62" s="6" t="s">
        <v>371</v>
      </c>
      <c r="E62" s="7" t="str">
        <f t="shared" si="2"/>
        <v>Jakob Sket  - Miklova Zala</v>
      </c>
      <c r="F62" s="6" t="str">
        <f t="shared" si="3"/>
        <v>Jakob Sket</v>
      </c>
      <c r="G62" s="6" t="s">
        <v>360</v>
      </c>
      <c r="H62" s="6" t="s">
        <v>372</v>
      </c>
      <c r="I62" s="8" t="str">
        <f>IFERROR(VLOOKUP(R[0]C[-3],'Author-Period'!C[-8]:C[-6],3,false), "unknown")</f>
        <v>#ERROR!</v>
      </c>
      <c r="J62" s="6" t="s">
        <v>22</v>
      </c>
      <c r="K62" s="6" t="s">
        <v>373</v>
      </c>
      <c r="L62" s="6" t="s">
        <v>24</v>
      </c>
      <c r="M62" s="9">
        <v>34143.0</v>
      </c>
      <c r="N62" s="10">
        <v>1884.0</v>
      </c>
      <c r="O62" s="10">
        <v>1884.0</v>
      </c>
      <c r="P62" s="6" t="s">
        <v>374</v>
      </c>
      <c r="Q62" s="11" t="s">
        <v>26</v>
      </c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5" t="s">
        <v>375</v>
      </c>
      <c r="B63" s="5">
        <f t="shared" si="1"/>
        <v>62</v>
      </c>
      <c r="C63" s="5" t="s">
        <v>369</v>
      </c>
      <c r="D63" s="6" t="s">
        <v>376</v>
      </c>
      <c r="E63" s="7" t="str">
        <f t="shared" si="2"/>
        <v>Jakob Sket  - Milko Vogrin</v>
      </c>
      <c r="F63" s="6" t="str">
        <f t="shared" si="3"/>
        <v>Jakob Sket</v>
      </c>
      <c r="G63" s="6" t="s">
        <v>360</v>
      </c>
      <c r="H63" s="6" t="s">
        <v>372</v>
      </c>
      <c r="I63" s="8" t="str">
        <f>IFERROR(VLOOKUP(R[0]C[-3],'Author-Period'!C[-8]:C[-6],3,false), "unknown")</f>
        <v>#ERROR!</v>
      </c>
      <c r="J63" s="6" t="s">
        <v>22</v>
      </c>
      <c r="K63" s="6" t="s">
        <v>377</v>
      </c>
      <c r="L63" s="6" t="s">
        <v>24</v>
      </c>
      <c r="M63" s="9">
        <v>76462.0</v>
      </c>
      <c r="N63" s="10">
        <v>1883.0</v>
      </c>
      <c r="O63" s="10">
        <v>1883.0</v>
      </c>
      <c r="P63" s="6" t="s">
        <v>378</v>
      </c>
      <c r="Q63" s="11" t="s">
        <v>26</v>
      </c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5" t="s">
        <v>379</v>
      </c>
      <c r="B64" s="5">
        <f t="shared" si="1"/>
        <v>63</v>
      </c>
      <c r="C64" s="5" t="s">
        <v>380</v>
      </c>
      <c r="D64" s="6" t="s">
        <v>381</v>
      </c>
      <c r="E64" s="7" t="str">
        <f t="shared" si="2"/>
        <v>Janko Kersnik  - Agitator</v>
      </c>
      <c r="F64" s="6" t="str">
        <f t="shared" si="3"/>
        <v>Janko Kersnik</v>
      </c>
      <c r="G64" s="6" t="s">
        <v>382</v>
      </c>
      <c r="H64" s="6" t="s">
        <v>383</v>
      </c>
      <c r="I64" s="8" t="str">
        <f>IFERROR(VLOOKUP(R[0]C[-3],'Author-Period'!C[-8]:C[-6],3,false), "unknown")</f>
        <v>#ERROR!</v>
      </c>
      <c r="J64" s="6" t="s">
        <v>22</v>
      </c>
      <c r="K64" s="6" t="s">
        <v>384</v>
      </c>
      <c r="L64" s="6" t="s">
        <v>24</v>
      </c>
      <c r="M64" s="9">
        <v>26559.0</v>
      </c>
      <c r="N64" s="10">
        <v>1885.0</v>
      </c>
      <c r="O64" s="10">
        <v>1885.0</v>
      </c>
      <c r="P64" s="6" t="s">
        <v>385</v>
      </c>
      <c r="Q64" s="11" t="s">
        <v>26</v>
      </c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5" t="s">
        <v>380</v>
      </c>
      <c r="B65" s="5">
        <f t="shared" si="1"/>
        <v>64</v>
      </c>
      <c r="C65" s="5" t="s">
        <v>386</v>
      </c>
      <c r="D65" s="6" t="s">
        <v>387</v>
      </c>
      <c r="E65" s="7" t="str">
        <f t="shared" si="2"/>
        <v>Janko Kersnik  - Ciklamen</v>
      </c>
      <c r="F65" s="6" t="str">
        <f t="shared" si="3"/>
        <v>Janko Kersnik</v>
      </c>
      <c r="G65" s="6" t="s">
        <v>382</v>
      </c>
      <c r="H65" s="6" t="s">
        <v>383</v>
      </c>
      <c r="I65" s="8" t="str">
        <f>IFERROR(VLOOKUP(R[0]C[-3],'Author-Period'!C[-8]:C[-6],3,false), "unknown")</f>
        <v>#ERROR!</v>
      </c>
      <c r="J65" s="6" t="s">
        <v>22</v>
      </c>
      <c r="K65" s="6" t="s">
        <v>388</v>
      </c>
      <c r="L65" s="6" t="s">
        <v>24</v>
      </c>
      <c r="M65" s="9">
        <v>37436.0</v>
      </c>
      <c r="N65" s="10">
        <v>1883.0</v>
      </c>
      <c r="O65" s="10">
        <v>1883.0</v>
      </c>
      <c r="P65" s="6" t="s">
        <v>389</v>
      </c>
      <c r="Q65" s="11" t="s">
        <v>26</v>
      </c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5" t="s">
        <v>390</v>
      </c>
      <c r="B66" s="5">
        <f t="shared" si="1"/>
        <v>65</v>
      </c>
      <c r="C66" s="8"/>
      <c r="D66" s="6"/>
      <c r="E66" s="7" t="str">
        <f t="shared" si="2"/>
        <v>Janko Kersnik  - Lutrski ljudje</v>
      </c>
      <c r="F66" s="6" t="str">
        <f t="shared" si="3"/>
        <v>Janko Kersnik</v>
      </c>
      <c r="G66" s="6" t="s">
        <v>382</v>
      </c>
      <c r="H66" s="6" t="s">
        <v>383</v>
      </c>
      <c r="I66" s="8" t="str">
        <f>IFERROR(VLOOKUP(R[0]C[-3],'Author-Period'!C[-8]:C[-6],3,false), "unknown")</f>
        <v>#ERROR!</v>
      </c>
      <c r="J66" s="6" t="s">
        <v>22</v>
      </c>
      <c r="K66" s="6" t="s">
        <v>391</v>
      </c>
      <c r="L66" s="6" t="s">
        <v>277</v>
      </c>
      <c r="M66" s="9">
        <v>14912.0</v>
      </c>
      <c r="N66" s="10">
        <v>1882.0</v>
      </c>
      <c r="O66" s="10">
        <v>1882.0</v>
      </c>
      <c r="P66" s="11" t="s">
        <v>392</v>
      </c>
      <c r="Q66" s="6" t="s">
        <v>279</v>
      </c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5" t="s">
        <v>393</v>
      </c>
      <c r="B67" s="5">
        <f t="shared" si="1"/>
        <v>66</v>
      </c>
      <c r="C67" s="5" t="s">
        <v>393</v>
      </c>
      <c r="D67" s="6" t="s">
        <v>394</v>
      </c>
      <c r="E67" s="7" t="str">
        <f t="shared" si="2"/>
        <v>Janko Kersnik  - Na Žerinjah</v>
      </c>
      <c r="F67" s="6" t="str">
        <f t="shared" si="3"/>
        <v>Janko Kersnik</v>
      </c>
      <c r="G67" s="6" t="s">
        <v>382</v>
      </c>
      <c r="H67" s="6" t="s">
        <v>383</v>
      </c>
      <c r="I67" s="8" t="str">
        <f>IFERROR(VLOOKUP(R[0]C[-3],'Author-Period'!C[-8]:C[-6],3,false), "unknown")</f>
        <v>#ERROR!</v>
      </c>
      <c r="J67" s="6" t="s">
        <v>22</v>
      </c>
      <c r="K67" s="6" t="s">
        <v>395</v>
      </c>
      <c r="L67" s="6" t="s">
        <v>24</v>
      </c>
      <c r="M67" s="9">
        <v>32756.0</v>
      </c>
      <c r="N67" s="10">
        <v>1876.0</v>
      </c>
      <c r="O67" s="10">
        <v>1876.0</v>
      </c>
      <c r="P67" s="6" t="s">
        <v>396</v>
      </c>
      <c r="Q67" s="11" t="s">
        <v>26</v>
      </c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5" t="s">
        <v>397</v>
      </c>
      <c r="B68" s="5">
        <f t="shared" si="1"/>
        <v>67</v>
      </c>
      <c r="C68" s="5" t="s">
        <v>398</v>
      </c>
      <c r="D68" s="6" t="s">
        <v>399</v>
      </c>
      <c r="E68" s="7" t="str">
        <f t="shared" si="2"/>
        <v>Jernej Dolžan  - Mati božja dobrega sveta ali bratovska ljubezen</v>
      </c>
      <c r="F68" s="6" t="str">
        <f t="shared" si="3"/>
        <v>Jernej Dolžan</v>
      </c>
      <c r="G68" s="6" t="s">
        <v>400</v>
      </c>
      <c r="H68" s="6" t="s">
        <v>401</v>
      </c>
      <c r="I68" s="8" t="str">
        <f>IFERROR(VLOOKUP(R[0]C[-3],'Author-Period'!C[-8]:C[-6],3,false), "unknown")</f>
        <v>#ERROR!</v>
      </c>
      <c r="J68" s="6" t="s">
        <v>22</v>
      </c>
      <c r="K68" s="6" t="s">
        <v>402</v>
      </c>
      <c r="L68" s="6" t="s">
        <v>24</v>
      </c>
      <c r="M68" s="9">
        <v>38502.0</v>
      </c>
      <c r="N68" s="10">
        <v>1868.0</v>
      </c>
      <c r="O68" s="10">
        <v>1868.0</v>
      </c>
      <c r="P68" s="6" t="s">
        <v>403</v>
      </c>
      <c r="Q68" s="11" t="s">
        <v>26</v>
      </c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5" t="s">
        <v>404</v>
      </c>
      <c r="B69" s="5">
        <f t="shared" si="1"/>
        <v>68</v>
      </c>
      <c r="C69" s="5" t="s">
        <v>405</v>
      </c>
      <c r="D69" s="6" t="s">
        <v>406</v>
      </c>
      <c r="E69" s="7" t="str">
        <f t="shared" si="2"/>
        <v>Josip Jurčič  - Jurij Kozjak, slovenski janičar</v>
      </c>
      <c r="F69" s="6" t="str">
        <f t="shared" si="3"/>
        <v>Josip Jurčič</v>
      </c>
      <c r="G69" s="6" t="s">
        <v>407</v>
      </c>
      <c r="H69" s="6" t="s">
        <v>408</v>
      </c>
      <c r="I69" s="8" t="str">
        <f>IFERROR(VLOOKUP(R[0]C[-3],'Author-Period'!C[-8]:C[-6],3,false), "unknown")</f>
        <v>#ERROR!</v>
      </c>
      <c r="J69" s="6" t="s">
        <v>22</v>
      </c>
      <c r="K69" s="6" t="s">
        <v>409</v>
      </c>
      <c r="L69" s="6" t="s">
        <v>24</v>
      </c>
      <c r="M69" s="9">
        <v>28773.0</v>
      </c>
      <c r="N69" s="10">
        <v>1864.0</v>
      </c>
      <c r="O69" s="10">
        <v>1864.0</v>
      </c>
      <c r="P69" s="6" t="s">
        <v>410</v>
      </c>
      <c r="Q69" s="11" t="s">
        <v>26</v>
      </c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5" t="s">
        <v>411</v>
      </c>
      <c r="B70" s="5">
        <f t="shared" si="1"/>
        <v>69</v>
      </c>
      <c r="C70" s="5" t="s">
        <v>412</v>
      </c>
      <c r="D70" s="6" t="s">
        <v>413</v>
      </c>
      <c r="E70" s="7" t="str">
        <f t="shared" si="2"/>
        <v>Josip Jurčič  - Lepa Vida</v>
      </c>
      <c r="F70" s="6" t="str">
        <f t="shared" si="3"/>
        <v>Josip Jurčič</v>
      </c>
      <c r="G70" s="6" t="s">
        <v>407</v>
      </c>
      <c r="H70" s="6" t="s">
        <v>408</v>
      </c>
      <c r="I70" s="8" t="str">
        <f>IFERROR(VLOOKUP(R[0]C[-3],'Author-Period'!C[-8]:C[-6],3,false), "unknown")</f>
        <v>#ERROR!</v>
      </c>
      <c r="J70" s="6" t="s">
        <v>22</v>
      </c>
      <c r="K70" s="6" t="s">
        <v>414</v>
      </c>
      <c r="L70" s="6" t="s">
        <v>24</v>
      </c>
      <c r="M70" s="9">
        <v>21121.0</v>
      </c>
      <c r="N70" s="10">
        <v>1877.0</v>
      </c>
      <c r="O70" s="10">
        <v>1877.0</v>
      </c>
      <c r="P70" s="6" t="s">
        <v>415</v>
      </c>
      <c r="Q70" s="11" t="s">
        <v>26</v>
      </c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5" t="s">
        <v>416</v>
      </c>
      <c r="B71" s="5">
        <f t="shared" si="1"/>
        <v>70</v>
      </c>
      <c r="C71" s="5" t="s">
        <v>417</v>
      </c>
      <c r="D71" s="6" t="s">
        <v>73</v>
      </c>
      <c r="E71" s="7" t="str">
        <f t="shared" si="2"/>
        <v>Josip Jurčič  - Sosedov sin</v>
      </c>
      <c r="F71" s="6" t="str">
        <f t="shared" si="3"/>
        <v>Josip Jurčič</v>
      </c>
      <c r="G71" s="6" t="s">
        <v>407</v>
      </c>
      <c r="H71" s="6" t="s">
        <v>408</v>
      </c>
      <c r="I71" s="8" t="str">
        <f>IFERROR(VLOOKUP(R[0]C[-3],'Author-Period'!C[-8]:C[-6],3,false), "unknown")</f>
        <v>#ERROR!</v>
      </c>
      <c r="J71" s="6" t="s">
        <v>22</v>
      </c>
      <c r="K71" s="6" t="s">
        <v>418</v>
      </c>
      <c r="L71" s="6" t="s">
        <v>24</v>
      </c>
      <c r="M71" s="9">
        <v>18729.0</v>
      </c>
      <c r="N71" s="9">
        <v>1868.0</v>
      </c>
      <c r="O71" s="9">
        <v>1868.0</v>
      </c>
      <c r="P71" s="13" t="s">
        <v>419</v>
      </c>
      <c r="Q71" s="13" t="s">
        <v>420</v>
      </c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5" t="s">
        <v>417</v>
      </c>
      <c r="B72" s="5">
        <f t="shared" si="1"/>
        <v>71</v>
      </c>
      <c r="C72" s="5" t="s">
        <v>421</v>
      </c>
      <c r="D72" s="6" t="s">
        <v>422</v>
      </c>
      <c r="E72" s="7" t="str">
        <f t="shared" si="2"/>
        <v>Josip Kostanjevec  - Ella</v>
      </c>
      <c r="F72" s="6" t="str">
        <f t="shared" si="3"/>
        <v>Josip Kostanjevec</v>
      </c>
      <c r="G72" s="6" t="s">
        <v>407</v>
      </c>
      <c r="H72" s="6" t="s">
        <v>423</v>
      </c>
      <c r="I72" s="8" t="str">
        <f>IFERROR(VLOOKUP(R[0]C[-3],'Author-Period'!C[-8]:C[-6],3,false), "unknown")</f>
        <v>#ERROR!</v>
      </c>
      <c r="J72" s="6" t="s">
        <v>22</v>
      </c>
      <c r="K72" s="6" t="s">
        <v>424</v>
      </c>
      <c r="L72" s="6" t="s">
        <v>24</v>
      </c>
      <c r="M72" s="9">
        <v>29118.0</v>
      </c>
      <c r="N72" s="10">
        <v>1903.0</v>
      </c>
      <c r="O72" s="10">
        <v>1903.0</v>
      </c>
      <c r="P72" s="6" t="s">
        <v>425</v>
      </c>
      <c r="Q72" s="11" t="s">
        <v>26</v>
      </c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5" t="s">
        <v>426</v>
      </c>
      <c r="B73" s="5">
        <f t="shared" si="1"/>
        <v>72</v>
      </c>
      <c r="C73" s="5" t="s">
        <v>427</v>
      </c>
      <c r="D73" s="6" t="s">
        <v>428</v>
      </c>
      <c r="E73" s="7" t="str">
        <f t="shared" si="2"/>
        <v>Josip Kostanjevec  - Pošteni ljudje</v>
      </c>
      <c r="F73" s="6" t="str">
        <f t="shared" si="3"/>
        <v>Josip Kostanjevec</v>
      </c>
      <c r="G73" s="6" t="s">
        <v>407</v>
      </c>
      <c r="H73" s="6" t="s">
        <v>423</v>
      </c>
      <c r="I73" s="8" t="str">
        <f>IFERROR(VLOOKUP(R[0]C[-3],'Author-Period'!C[-8]:C[-6],3,false), "unknown")</f>
        <v>#ERROR!</v>
      </c>
      <c r="J73" s="6" t="s">
        <v>22</v>
      </c>
      <c r="K73" s="6" t="s">
        <v>429</v>
      </c>
      <c r="L73" s="6" t="s">
        <v>24</v>
      </c>
      <c r="M73" s="9">
        <v>24249.0</v>
      </c>
      <c r="N73" s="10">
        <v>1905.0</v>
      </c>
      <c r="O73" s="10">
        <v>1905.0</v>
      </c>
      <c r="P73" s="6" t="s">
        <v>430</v>
      </c>
      <c r="Q73" s="11" t="s">
        <v>26</v>
      </c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5" t="s">
        <v>431</v>
      </c>
      <c r="B74" s="5">
        <f t="shared" si="1"/>
        <v>73</v>
      </c>
      <c r="C74" s="5" t="s">
        <v>432</v>
      </c>
      <c r="D74" s="6" t="s">
        <v>433</v>
      </c>
      <c r="E74" s="7" t="str">
        <f t="shared" si="2"/>
        <v>Josip Podmilšak  - Žalost in veselje</v>
      </c>
      <c r="F74" s="6" t="str">
        <f t="shared" si="3"/>
        <v>Josip Podmilšak</v>
      </c>
      <c r="G74" s="6" t="s">
        <v>407</v>
      </c>
      <c r="H74" s="6" t="s">
        <v>434</v>
      </c>
      <c r="I74" s="8" t="str">
        <f>IFERROR(VLOOKUP(R[0]C[-3],'Author-Period'!C[-8]:C[-6],3,false), "unknown")</f>
        <v>#ERROR!</v>
      </c>
      <c r="J74" s="6" t="s">
        <v>22</v>
      </c>
      <c r="K74" s="6" t="s">
        <v>435</v>
      </c>
      <c r="L74" s="6" t="s">
        <v>24</v>
      </c>
      <c r="M74" s="9">
        <v>77348.0</v>
      </c>
      <c r="N74" s="10">
        <v>1870.0</v>
      </c>
      <c r="O74" s="10">
        <v>1870.0</v>
      </c>
      <c r="P74" s="6" t="s">
        <v>436</v>
      </c>
      <c r="Q74" s="11" t="s">
        <v>26</v>
      </c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5" t="s">
        <v>437</v>
      </c>
      <c r="B75" s="5">
        <f t="shared" si="1"/>
        <v>74</v>
      </c>
      <c r="C75" s="5" t="s">
        <v>438</v>
      </c>
      <c r="D75" s="6" t="s">
        <v>439</v>
      </c>
      <c r="E75" s="7" t="str">
        <f t="shared" si="2"/>
        <v>Josip Premk  - Krona v višavi</v>
      </c>
      <c r="F75" s="6" t="str">
        <f t="shared" si="3"/>
        <v>Josip Premk</v>
      </c>
      <c r="G75" s="6" t="s">
        <v>407</v>
      </c>
      <c r="H75" s="6" t="s">
        <v>440</v>
      </c>
      <c r="I75" s="8" t="str">
        <f>IFERROR(VLOOKUP(R[0]C[-3],'Author-Period'!C[-8]:C[-6],3,false), "unknown")</f>
        <v>#ERROR!</v>
      </c>
      <c r="J75" s="6" t="s">
        <v>22</v>
      </c>
      <c r="K75" s="6" t="s">
        <v>441</v>
      </c>
      <c r="L75" s="6" t="s">
        <v>24</v>
      </c>
      <c r="M75" s="9">
        <v>29259.0</v>
      </c>
      <c r="N75" s="10">
        <v>1912.0</v>
      </c>
      <c r="O75" s="10">
        <v>1912.0</v>
      </c>
      <c r="P75" s="6" t="s">
        <v>442</v>
      </c>
      <c r="Q75" s="11" t="s">
        <v>26</v>
      </c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5" t="s">
        <v>432</v>
      </c>
      <c r="B76" s="5">
        <f t="shared" si="1"/>
        <v>75</v>
      </c>
      <c r="C76" s="5" t="s">
        <v>443</v>
      </c>
      <c r="D76" s="6" t="s">
        <v>444</v>
      </c>
      <c r="E76" s="7" t="str">
        <f t="shared" si="2"/>
        <v>Josip Premk  - Letoviščarji</v>
      </c>
      <c r="F76" s="6" t="str">
        <f t="shared" si="3"/>
        <v>Josip Premk</v>
      </c>
      <c r="G76" s="6" t="s">
        <v>407</v>
      </c>
      <c r="H76" s="6" t="s">
        <v>440</v>
      </c>
      <c r="I76" s="8" t="str">
        <f>IFERROR(VLOOKUP(R[0]C[-3],'Author-Period'!C[-8]:C[-6],3,false), "unknown")</f>
        <v>#ERROR!</v>
      </c>
      <c r="J76" s="6" t="s">
        <v>22</v>
      </c>
      <c r="K76" s="6" t="s">
        <v>445</v>
      </c>
      <c r="L76" s="6" t="s">
        <v>24</v>
      </c>
      <c r="M76" s="9">
        <v>20969.0</v>
      </c>
      <c r="N76" s="10">
        <v>1913.0</v>
      </c>
      <c r="O76" s="10">
        <v>1913.0</v>
      </c>
      <c r="P76" s="6" t="s">
        <v>446</v>
      </c>
      <c r="Q76" s="11" t="s">
        <v>26</v>
      </c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5" t="s">
        <v>447</v>
      </c>
      <c r="B77" s="5">
        <f t="shared" si="1"/>
        <v>76</v>
      </c>
      <c r="C77" s="5" t="s">
        <v>448</v>
      </c>
      <c r="D77" s="6" t="s">
        <v>449</v>
      </c>
      <c r="E77" s="7" t="str">
        <f t="shared" si="2"/>
        <v>Josip Stare  - Vanda</v>
      </c>
      <c r="F77" s="6" t="str">
        <f t="shared" si="3"/>
        <v>Josip Stare</v>
      </c>
      <c r="G77" s="6" t="s">
        <v>407</v>
      </c>
      <c r="H77" s="6" t="s">
        <v>450</v>
      </c>
      <c r="I77" s="8" t="str">
        <f>IFERROR(VLOOKUP(R[0]C[-3],'Author-Period'!C[-8]:C[-6],3,false), "unknown")</f>
        <v>#ERROR!</v>
      </c>
      <c r="J77" s="6" t="s">
        <v>22</v>
      </c>
      <c r="K77" s="6" t="s">
        <v>451</v>
      </c>
      <c r="L77" s="6" t="s">
        <v>24</v>
      </c>
      <c r="M77" s="9">
        <v>37604.0</v>
      </c>
      <c r="N77" s="10">
        <v>1888.0</v>
      </c>
      <c r="O77" s="10">
        <v>1888.0</v>
      </c>
      <c r="P77" s="6" t="s">
        <v>452</v>
      </c>
      <c r="Q77" s="11" t="s">
        <v>26</v>
      </c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5" t="s">
        <v>453</v>
      </c>
      <c r="B78" s="5">
        <f t="shared" si="1"/>
        <v>77</v>
      </c>
      <c r="C78" s="5" t="s">
        <v>454</v>
      </c>
      <c r="D78" s="6" t="s">
        <v>73</v>
      </c>
      <c r="E78" s="7" t="str">
        <f t="shared" si="2"/>
        <v>Josip Stritar  - Rosana</v>
      </c>
      <c r="F78" s="6" t="str">
        <f t="shared" si="3"/>
        <v>Josip Stritar</v>
      </c>
      <c r="G78" s="6" t="s">
        <v>407</v>
      </c>
      <c r="H78" s="6" t="s">
        <v>455</v>
      </c>
      <c r="I78" s="8" t="str">
        <f>IFERROR(VLOOKUP(R[0]C[-3],'Author-Period'!C[-8]:C[-6],3,false), "unknown")</f>
        <v>#ERROR!</v>
      </c>
      <c r="J78" s="6" t="s">
        <v>22</v>
      </c>
      <c r="K78" s="6" t="s">
        <v>456</v>
      </c>
      <c r="L78" s="6" t="s">
        <v>24</v>
      </c>
      <c r="M78" s="9">
        <v>18428.0</v>
      </c>
      <c r="N78" s="9">
        <v>1877.0</v>
      </c>
      <c r="O78" s="9">
        <v>1877.0</v>
      </c>
      <c r="P78" s="13" t="s">
        <v>457</v>
      </c>
      <c r="Q78" s="13" t="s">
        <v>458</v>
      </c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5" t="s">
        <v>459</v>
      </c>
      <c r="B79" s="5">
        <f t="shared" si="1"/>
        <v>78</v>
      </c>
      <c r="C79" s="5" t="s">
        <v>460</v>
      </c>
      <c r="D79" s="6" t="s">
        <v>461</v>
      </c>
      <c r="E79" s="7" t="str">
        <f t="shared" si="2"/>
        <v>Josip Stritar  - Zorin</v>
      </c>
      <c r="F79" s="6" t="str">
        <f t="shared" si="3"/>
        <v>Josip Stritar</v>
      </c>
      <c r="G79" s="6" t="s">
        <v>407</v>
      </c>
      <c r="H79" s="6" t="s">
        <v>455</v>
      </c>
      <c r="I79" s="8" t="str">
        <f>IFERROR(VLOOKUP(R[0]C[-3],'Author-Period'!C[-8]:C[-6],3,false), "unknown")</f>
        <v>#ERROR!</v>
      </c>
      <c r="J79" s="6" t="s">
        <v>22</v>
      </c>
      <c r="K79" s="6" t="s">
        <v>462</v>
      </c>
      <c r="L79" s="6" t="s">
        <v>24</v>
      </c>
      <c r="M79" s="9">
        <v>28147.0</v>
      </c>
      <c r="N79" s="10">
        <v>1870.0</v>
      </c>
      <c r="O79" s="10">
        <v>1870.0</v>
      </c>
      <c r="P79" s="6" t="s">
        <v>463</v>
      </c>
      <c r="Q79" s="11" t="s">
        <v>26</v>
      </c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5" t="s">
        <v>464</v>
      </c>
      <c r="B80" s="5">
        <f t="shared" si="1"/>
        <v>79</v>
      </c>
      <c r="C80" s="8"/>
      <c r="D80" s="6"/>
      <c r="E80" s="7" t="str">
        <f t="shared" si="2"/>
        <v>Josipina Turnograjska  - Boris</v>
      </c>
      <c r="F80" s="6" t="s">
        <v>465</v>
      </c>
      <c r="G80" s="6" t="s">
        <v>466</v>
      </c>
      <c r="H80" s="6" t="s">
        <v>467</v>
      </c>
      <c r="I80" s="8" t="str">
        <f>IFERROR(VLOOKUP(R[0]C[-3],'Author-Period'!C[-8]:C[-6],3,false), "unknown")</f>
        <v>#ERROR!</v>
      </c>
      <c r="J80" s="6" t="s">
        <v>468</v>
      </c>
      <c r="K80" s="6" t="s">
        <v>469</v>
      </c>
      <c r="L80" s="6" t="s">
        <v>470</v>
      </c>
      <c r="M80" s="9">
        <v>1996.0</v>
      </c>
      <c r="N80" s="10">
        <v>1852.0</v>
      </c>
      <c r="O80" s="10">
        <v>1852.0</v>
      </c>
      <c r="P80" s="11" t="s">
        <v>471</v>
      </c>
      <c r="Q80" s="6" t="s">
        <v>279</v>
      </c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5" t="s">
        <v>472</v>
      </c>
      <c r="B81" s="5">
        <f t="shared" si="1"/>
        <v>80</v>
      </c>
      <c r="C81" s="8"/>
      <c r="D81" s="6"/>
      <c r="E81" s="7" t="str">
        <f t="shared" si="2"/>
        <v>Josipina Turnograjska  - Očetova kletev</v>
      </c>
      <c r="F81" s="6" t="s">
        <v>465</v>
      </c>
      <c r="G81" s="6" t="s">
        <v>466</v>
      </c>
      <c r="H81" s="6" t="s">
        <v>467</v>
      </c>
      <c r="I81" s="8" t="str">
        <f>IFERROR(VLOOKUP(R[0]C[-3],'Author-Period'!C[-8]:C[-6],3,false), "unknown")</f>
        <v>#ERROR!</v>
      </c>
      <c r="J81" s="6" t="s">
        <v>468</v>
      </c>
      <c r="K81" s="6" t="s">
        <v>473</v>
      </c>
      <c r="L81" s="6" t="s">
        <v>470</v>
      </c>
      <c r="M81" s="9">
        <v>4661.0</v>
      </c>
      <c r="N81" s="10">
        <v>1896.0</v>
      </c>
      <c r="O81" s="10">
        <v>1896.0</v>
      </c>
      <c r="P81" s="11" t="s">
        <v>474</v>
      </c>
      <c r="Q81" s="6" t="s">
        <v>279</v>
      </c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5" t="s">
        <v>475</v>
      </c>
      <c r="B82" s="5">
        <f t="shared" si="1"/>
        <v>81</v>
      </c>
      <c r="C82" s="8"/>
      <c r="D82" s="6"/>
      <c r="E82" s="7" t="str">
        <f t="shared" si="2"/>
        <v>Josipina Turnograjska  - Rožmanova Lenčica</v>
      </c>
      <c r="F82" s="6" t="s">
        <v>465</v>
      </c>
      <c r="G82" s="6" t="s">
        <v>466</v>
      </c>
      <c r="H82" s="6" t="s">
        <v>467</v>
      </c>
      <c r="I82" s="8" t="str">
        <f>IFERROR(VLOOKUP(R[0]C[-3],'Author-Period'!C[-8]:C[-6],3,false), "unknown")</f>
        <v>#ERROR!</v>
      </c>
      <c r="J82" s="6" t="s">
        <v>468</v>
      </c>
      <c r="K82" s="6" t="s">
        <v>476</v>
      </c>
      <c r="L82" s="6" t="s">
        <v>470</v>
      </c>
      <c r="M82" s="9">
        <v>2716.0</v>
      </c>
      <c r="N82" s="9">
        <v>1853.0</v>
      </c>
      <c r="O82" s="9">
        <v>1853.0</v>
      </c>
      <c r="P82" s="11" t="s">
        <v>477</v>
      </c>
      <c r="Q82" s="6" t="s">
        <v>279</v>
      </c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5" t="s">
        <v>478</v>
      </c>
      <c r="B83" s="5">
        <f t="shared" si="1"/>
        <v>82</v>
      </c>
      <c r="C83" s="5" t="s">
        <v>478</v>
      </c>
      <c r="D83" s="6" t="s">
        <v>479</v>
      </c>
      <c r="E83" s="7" t="str">
        <f t="shared" si="2"/>
        <v>Jurij Vranič  - Helena</v>
      </c>
      <c r="F83" s="6" t="str">
        <f t="shared" ref="F83:F91" si="4">G83&amp;" "&amp;H83</f>
        <v>Jurij Vranič</v>
      </c>
      <c r="G83" s="6" t="s">
        <v>480</v>
      </c>
      <c r="H83" s="6" t="s">
        <v>481</v>
      </c>
      <c r="I83" s="8" t="str">
        <f>IFERROR(VLOOKUP(R[0]C[-3],'Author-Period'!C[-8]:C[-6],3,false), "unknown")</f>
        <v>#ERROR!</v>
      </c>
      <c r="J83" s="6" t="s">
        <v>22</v>
      </c>
      <c r="K83" s="6" t="s">
        <v>482</v>
      </c>
      <c r="L83" s="6" t="s">
        <v>24</v>
      </c>
      <c r="M83" s="9">
        <v>25142.0</v>
      </c>
      <c r="N83" s="10">
        <v>1874.0</v>
      </c>
      <c r="O83" s="10">
        <v>1874.0</v>
      </c>
      <c r="P83" s="6" t="s">
        <v>483</v>
      </c>
      <c r="Q83" s="11" t="s">
        <v>26</v>
      </c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5" t="s">
        <v>484</v>
      </c>
      <c r="B84" s="5">
        <f t="shared" si="1"/>
        <v>83</v>
      </c>
      <c r="C84" s="5" t="s">
        <v>485</v>
      </c>
      <c r="D84" s="6" t="s">
        <v>486</v>
      </c>
      <c r="E84" s="7" t="str">
        <f t="shared" si="2"/>
        <v>Lea Fatur  - Biseri</v>
      </c>
      <c r="F84" s="6" t="str">
        <f t="shared" si="4"/>
        <v>Lea Fatur</v>
      </c>
      <c r="G84" s="6" t="s">
        <v>487</v>
      </c>
      <c r="H84" s="6" t="s">
        <v>488</v>
      </c>
      <c r="I84" s="8" t="str">
        <f>IFERROR(VLOOKUP(R[0]C[-3],'Author-Period'!C[-8]:C[-6],3,false), "unknown")</f>
        <v>#ERROR!</v>
      </c>
      <c r="J84" s="6" t="s">
        <v>468</v>
      </c>
      <c r="K84" s="6" t="s">
        <v>489</v>
      </c>
      <c r="L84" s="6" t="s">
        <v>24</v>
      </c>
      <c r="M84" s="9">
        <v>66480.0</v>
      </c>
      <c r="N84" s="10">
        <v>1908.0</v>
      </c>
      <c r="O84" s="10">
        <v>1908.0</v>
      </c>
      <c r="P84" s="6" t="s">
        <v>490</v>
      </c>
      <c r="Q84" s="11" t="s">
        <v>26</v>
      </c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5" t="s">
        <v>491</v>
      </c>
      <c r="B85" s="5">
        <f t="shared" si="1"/>
        <v>84</v>
      </c>
      <c r="C85" s="5" t="s">
        <v>492</v>
      </c>
      <c r="D85" s="6" t="s">
        <v>493</v>
      </c>
      <c r="E85" s="7" t="str">
        <f t="shared" si="2"/>
        <v>Lea Fatur  - Junakinja zvestobe</v>
      </c>
      <c r="F85" s="6" t="str">
        <f t="shared" si="4"/>
        <v>Lea Fatur</v>
      </c>
      <c r="G85" s="6" t="s">
        <v>487</v>
      </c>
      <c r="H85" s="6" t="s">
        <v>488</v>
      </c>
      <c r="I85" s="8" t="str">
        <f>IFERROR(VLOOKUP(R[0]C[-3],'Author-Period'!C[-8]:C[-6],3,false), "unknown")</f>
        <v>#ERROR!</v>
      </c>
      <c r="J85" s="6" t="s">
        <v>468</v>
      </c>
      <c r="K85" s="6" t="s">
        <v>494</v>
      </c>
      <c r="L85" s="6" t="s">
        <v>24</v>
      </c>
      <c r="M85" s="9">
        <v>43229.0</v>
      </c>
      <c r="N85" s="10">
        <v>1912.0</v>
      </c>
      <c r="O85" s="10">
        <v>1912.0</v>
      </c>
      <c r="P85" s="6" t="s">
        <v>495</v>
      </c>
      <c r="Q85" s="11" t="s">
        <v>26</v>
      </c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5" t="s">
        <v>496</v>
      </c>
      <c r="B86" s="5">
        <f t="shared" si="1"/>
        <v>85</v>
      </c>
      <c r="C86" s="5" t="s">
        <v>491</v>
      </c>
      <c r="D86" s="6" t="s">
        <v>497</v>
      </c>
      <c r="E86" s="7" t="str">
        <f t="shared" si="2"/>
        <v>Lea Fatur  - Komisarjeva hči</v>
      </c>
      <c r="F86" s="6" t="str">
        <f t="shared" si="4"/>
        <v>Lea Fatur</v>
      </c>
      <c r="G86" s="6" t="s">
        <v>487</v>
      </c>
      <c r="H86" s="6" t="s">
        <v>488</v>
      </c>
      <c r="I86" s="8" t="str">
        <f>IFERROR(VLOOKUP(R[0]C[-3],'Author-Period'!C[-8]:C[-6],3,false), "unknown")</f>
        <v>#ERROR!</v>
      </c>
      <c r="J86" s="6" t="s">
        <v>468</v>
      </c>
      <c r="K86" s="6" t="s">
        <v>498</v>
      </c>
      <c r="L86" s="6" t="s">
        <v>24</v>
      </c>
      <c r="M86" s="9">
        <v>59253.0</v>
      </c>
      <c r="N86" s="10">
        <v>1910.0</v>
      </c>
      <c r="O86" s="10">
        <v>1910.0</v>
      </c>
      <c r="P86" s="6" t="s">
        <v>499</v>
      </c>
      <c r="Q86" s="11" t="s">
        <v>26</v>
      </c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5" t="s">
        <v>500</v>
      </c>
      <c r="B87" s="5">
        <f t="shared" si="1"/>
        <v>86</v>
      </c>
      <c r="C87" s="5" t="s">
        <v>501</v>
      </c>
      <c r="D87" s="6" t="s">
        <v>502</v>
      </c>
      <c r="E87" s="7" t="str">
        <f t="shared" si="2"/>
        <v>Leopold Lenard  - Izpod Kuma</v>
      </c>
      <c r="F87" s="6" t="str">
        <f t="shared" si="4"/>
        <v>Leopold Lenard</v>
      </c>
      <c r="G87" s="6" t="s">
        <v>503</v>
      </c>
      <c r="H87" s="6" t="s">
        <v>504</v>
      </c>
      <c r="I87" s="8" t="str">
        <f>IFERROR(VLOOKUP(R[0]C[-3],'Author-Period'!C[-8]:C[-6],3,false), "unknown")</f>
        <v>#ERROR!</v>
      </c>
      <c r="J87" s="6" t="s">
        <v>22</v>
      </c>
      <c r="K87" s="6" t="s">
        <v>505</v>
      </c>
      <c r="L87" s="6" t="s">
        <v>24</v>
      </c>
      <c r="M87" s="9">
        <v>37227.0</v>
      </c>
      <c r="N87" s="10">
        <v>1910.0</v>
      </c>
      <c r="O87" s="10">
        <v>1910.0</v>
      </c>
      <c r="P87" s="6" t="s">
        <v>506</v>
      </c>
      <c r="Q87" s="11" t="s">
        <v>26</v>
      </c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5" t="s">
        <v>507</v>
      </c>
      <c r="B88" s="5">
        <f t="shared" si="1"/>
        <v>87</v>
      </c>
      <c r="C88" s="5" t="s">
        <v>508</v>
      </c>
      <c r="D88" s="6" t="s">
        <v>509</v>
      </c>
      <c r="E88" s="7" t="str">
        <f t="shared" si="2"/>
        <v>Luiza Pesjak  - Beatin dnevnik</v>
      </c>
      <c r="F88" s="6" t="str">
        <f t="shared" si="4"/>
        <v>Luiza Pesjak</v>
      </c>
      <c r="G88" s="6" t="s">
        <v>510</v>
      </c>
      <c r="H88" s="6" t="s">
        <v>511</v>
      </c>
      <c r="I88" s="8" t="str">
        <f>IFERROR(VLOOKUP(R[0]C[-3],'Author-Period'!C[-8]:C[-6],3,false), "unknown")</f>
        <v>#ERROR!</v>
      </c>
      <c r="J88" s="6" t="s">
        <v>468</v>
      </c>
      <c r="K88" s="6" t="s">
        <v>512</v>
      </c>
      <c r="L88" s="6" t="s">
        <v>24</v>
      </c>
      <c r="M88" s="9">
        <v>30104.0</v>
      </c>
      <c r="N88" s="10">
        <v>1887.0</v>
      </c>
      <c r="O88" s="10">
        <v>1887.0</v>
      </c>
      <c r="P88" s="6" t="s">
        <v>513</v>
      </c>
      <c r="Q88" s="11" t="s">
        <v>26</v>
      </c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5" t="s">
        <v>514</v>
      </c>
      <c r="B89" s="5">
        <f t="shared" si="1"/>
        <v>88</v>
      </c>
      <c r="C89" s="8"/>
      <c r="D89" s="6"/>
      <c r="E89" s="7" t="str">
        <f t="shared" si="2"/>
        <v>Luiza Pesjak  - Dragotin</v>
      </c>
      <c r="F89" s="6" t="str">
        <f t="shared" si="4"/>
        <v>Luiza Pesjak</v>
      </c>
      <c r="G89" s="6" t="s">
        <v>510</v>
      </c>
      <c r="H89" s="6" t="s">
        <v>511</v>
      </c>
      <c r="I89" s="8" t="str">
        <f>IFERROR(VLOOKUP(R[0]C[-3],'Author-Period'!C[-8]:C[-6],3,false), "unknown")</f>
        <v>#ERROR!</v>
      </c>
      <c r="J89" s="6" t="s">
        <v>468</v>
      </c>
      <c r="K89" s="6" t="s">
        <v>515</v>
      </c>
      <c r="L89" s="6" t="s">
        <v>277</v>
      </c>
      <c r="M89" s="9">
        <v>3031.0</v>
      </c>
      <c r="N89" s="10">
        <v>1864.0</v>
      </c>
      <c r="O89" s="10">
        <v>1864.0</v>
      </c>
      <c r="P89" s="11" t="s">
        <v>516</v>
      </c>
      <c r="Q89" s="6" t="s">
        <v>279</v>
      </c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5" t="s">
        <v>517</v>
      </c>
      <c r="B90" s="5">
        <f t="shared" si="1"/>
        <v>89</v>
      </c>
      <c r="C90" s="8"/>
      <c r="D90" s="6"/>
      <c r="E90" s="7" t="str">
        <f t="shared" si="2"/>
        <v>Luiza Pesjak  - Moja zvezdica</v>
      </c>
      <c r="F90" s="6" t="str">
        <f t="shared" si="4"/>
        <v>Luiza Pesjak</v>
      </c>
      <c r="G90" s="6" t="s">
        <v>510</v>
      </c>
      <c r="H90" s="6" t="s">
        <v>511</v>
      </c>
      <c r="I90" s="8" t="str">
        <f>IFERROR(VLOOKUP(R[0]C[-3],'Author-Period'!C[-8]:C[-6],3,false), "unknown")</f>
        <v>#ERROR!</v>
      </c>
      <c r="J90" s="6" t="s">
        <v>468</v>
      </c>
      <c r="K90" s="6" t="s">
        <v>518</v>
      </c>
      <c r="L90" s="6" t="s">
        <v>277</v>
      </c>
      <c r="M90" s="9">
        <v>5054.0</v>
      </c>
      <c r="N90" s="10">
        <v>1871.0</v>
      </c>
      <c r="O90" s="10">
        <v>1871.0</v>
      </c>
      <c r="P90" s="11" t="s">
        <v>519</v>
      </c>
      <c r="Q90" s="6" t="s">
        <v>279</v>
      </c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5" t="s">
        <v>520</v>
      </c>
      <c r="B91" s="5">
        <f t="shared" si="1"/>
        <v>90</v>
      </c>
      <c r="C91" s="5" t="s">
        <v>500</v>
      </c>
      <c r="D91" s="6" t="s">
        <v>521</v>
      </c>
      <c r="E91" s="7" t="str">
        <f t="shared" si="2"/>
        <v>Marica Nadlišek Bartol  - Fata morgana</v>
      </c>
      <c r="F91" s="6" t="str">
        <f t="shared" si="4"/>
        <v>Marica Nadlišek Bartol</v>
      </c>
      <c r="G91" s="6" t="s">
        <v>522</v>
      </c>
      <c r="H91" s="6" t="s">
        <v>523</v>
      </c>
      <c r="I91" s="8" t="str">
        <f>IFERROR(VLOOKUP(R[0]C[-3],'Author-Period'!C[-8]:C[-6],3,false), "unknown")</f>
        <v>#ERROR!</v>
      </c>
      <c r="J91" s="6" t="s">
        <v>468</v>
      </c>
      <c r="K91" s="6" t="s">
        <v>524</v>
      </c>
      <c r="L91" s="6" t="s">
        <v>24</v>
      </c>
      <c r="M91" s="9">
        <v>42261.0</v>
      </c>
      <c r="N91" s="10">
        <v>1898.0</v>
      </c>
      <c r="O91" s="10">
        <v>1898.0</v>
      </c>
      <c r="P91" s="6" t="s">
        <v>525</v>
      </c>
      <c r="Q91" s="11" t="s">
        <v>26</v>
      </c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5" t="s">
        <v>526</v>
      </c>
      <c r="B92" s="5">
        <f t="shared" si="1"/>
        <v>91</v>
      </c>
      <c r="C92" s="8"/>
      <c r="D92" s="6"/>
      <c r="E92" s="7" t="str">
        <f t="shared" si="2"/>
        <v>Marica Nadlišek Bartol  - Iz življenja mlade umetnice</v>
      </c>
      <c r="F92" s="6" t="s">
        <v>527</v>
      </c>
      <c r="G92" s="6" t="s">
        <v>522</v>
      </c>
      <c r="H92" s="6" t="s">
        <v>523</v>
      </c>
      <c r="I92" s="8" t="str">
        <f>IFERROR(VLOOKUP(R[0]C[-3],'Author-Period'!C[-8]:C[-6],3,false), "unknown")</f>
        <v>#ERROR!</v>
      </c>
      <c r="J92" s="6" t="s">
        <v>468</v>
      </c>
      <c r="K92" s="6" t="s">
        <v>528</v>
      </c>
      <c r="L92" s="6" t="s">
        <v>470</v>
      </c>
      <c r="M92" s="9">
        <v>8954.0</v>
      </c>
      <c r="N92" s="10">
        <v>1890.0</v>
      </c>
      <c r="O92" s="10">
        <v>1890.0</v>
      </c>
      <c r="P92" s="11" t="s">
        <v>529</v>
      </c>
      <c r="Q92" s="6" t="s">
        <v>279</v>
      </c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5" t="s">
        <v>530</v>
      </c>
      <c r="B93" s="5">
        <f t="shared" si="1"/>
        <v>92</v>
      </c>
      <c r="C93" s="8"/>
      <c r="D93" s="6"/>
      <c r="E93" s="7" t="str">
        <f t="shared" si="2"/>
        <v>Marica Nadlišek Bartol  - Slike in sličice iz življenja</v>
      </c>
      <c r="F93" s="6" t="s">
        <v>527</v>
      </c>
      <c r="G93" s="6" t="s">
        <v>522</v>
      </c>
      <c r="H93" s="6" t="s">
        <v>523</v>
      </c>
      <c r="I93" s="8" t="str">
        <f>IFERROR(VLOOKUP(R[0]C[-3],'Author-Period'!C[-8]:C[-6],3,false), "unknown")</f>
        <v>#ERROR!</v>
      </c>
      <c r="J93" s="6" t="s">
        <v>468</v>
      </c>
      <c r="K93" s="6" t="s">
        <v>531</v>
      </c>
      <c r="L93" s="15" t="s">
        <v>532</v>
      </c>
      <c r="M93" s="9">
        <v>8005.0</v>
      </c>
      <c r="N93" s="10">
        <v>1896.0</v>
      </c>
      <c r="O93" s="10">
        <v>1896.0</v>
      </c>
      <c r="P93" s="11" t="s">
        <v>533</v>
      </c>
      <c r="Q93" s="6" t="s">
        <v>279</v>
      </c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5" t="s">
        <v>534</v>
      </c>
      <c r="B94" s="5">
        <f t="shared" si="1"/>
        <v>93</v>
      </c>
      <c r="C94" s="8"/>
      <c r="D94" s="6"/>
      <c r="E94" s="7" t="str">
        <f t="shared" si="2"/>
        <v>Marica Nadlišek Bartol  - Strte peruti</v>
      </c>
      <c r="F94" s="6" t="s">
        <v>527</v>
      </c>
      <c r="G94" s="6" t="s">
        <v>522</v>
      </c>
      <c r="H94" s="6" t="s">
        <v>523</v>
      </c>
      <c r="I94" s="8" t="str">
        <f>IFERROR(VLOOKUP(R[0]C[-3],'Author-Period'!C[-8]:C[-6],3,false), "unknown")</f>
        <v>#ERROR!</v>
      </c>
      <c r="J94" s="6" t="s">
        <v>468</v>
      </c>
      <c r="K94" s="6" t="s">
        <v>535</v>
      </c>
      <c r="L94" s="15" t="s">
        <v>532</v>
      </c>
      <c r="M94" s="9">
        <v>6538.0</v>
      </c>
      <c r="N94" s="10">
        <v>1894.0</v>
      </c>
      <c r="O94" s="10">
        <v>1894.0</v>
      </c>
      <c r="P94" s="11" t="s">
        <v>536</v>
      </c>
      <c r="Q94" s="6" t="s">
        <v>279</v>
      </c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5" t="s">
        <v>537</v>
      </c>
      <c r="B95" s="5">
        <f t="shared" si="1"/>
        <v>94</v>
      </c>
      <c r="C95" s="8"/>
      <c r="D95" s="6"/>
      <c r="E95" s="7" t="str">
        <f t="shared" si="2"/>
        <v>Marija Kmet  - V metežu</v>
      </c>
      <c r="F95" s="6" t="str">
        <f>G95&amp;" "&amp;H95</f>
        <v>Marija Kmet</v>
      </c>
      <c r="G95" s="6" t="s">
        <v>538</v>
      </c>
      <c r="H95" s="6" t="s">
        <v>539</v>
      </c>
      <c r="I95" s="8" t="str">
        <f>IFERROR(VLOOKUP(R[0]C[-3],'Author-Period'!C[-8]:C[-6],3,false), "unknown")</f>
        <v>#ERROR!</v>
      </c>
      <c r="J95" s="6" t="s">
        <v>468</v>
      </c>
      <c r="K95" s="6" t="s">
        <v>540</v>
      </c>
      <c r="L95" s="6" t="s">
        <v>277</v>
      </c>
      <c r="M95" s="9">
        <v>49960.0</v>
      </c>
      <c r="N95" s="9">
        <v>1923.0</v>
      </c>
      <c r="O95" s="9">
        <v>1923.0</v>
      </c>
      <c r="P95" s="11" t="s">
        <v>541</v>
      </c>
      <c r="Q95" s="6" t="s">
        <v>279</v>
      </c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5" t="s">
        <v>542</v>
      </c>
      <c r="B96" s="5">
        <f t="shared" si="1"/>
        <v>95</v>
      </c>
      <c r="C96" s="8"/>
      <c r="D96" s="6"/>
      <c r="E96" s="7" t="str">
        <f t="shared" si="2"/>
        <v>Marijana Željeznov Kokalj  - Darinka</v>
      </c>
      <c r="F96" s="6" t="s">
        <v>543</v>
      </c>
      <c r="G96" s="6" t="s">
        <v>544</v>
      </c>
      <c r="H96" s="6" t="s">
        <v>545</v>
      </c>
      <c r="I96" s="8" t="str">
        <f>IFERROR(VLOOKUP(R[0]C[-3],'Author-Period'!C[-8]:C[-6],3,false), "unknown")</f>
        <v>#ERROR!</v>
      </c>
      <c r="J96" s="6" t="s">
        <v>468</v>
      </c>
      <c r="K96" s="6" t="s">
        <v>546</v>
      </c>
      <c r="L96" s="6" t="s">
        <v>470</v>
      </c>
      <c r="M96" s="9">
        <v>17498.0</v>
      </c>
      <c r="N96" s="10">
        <v>1930.0</v>
      </c>
      <c r="O96" s="10">
        <v>1930.0</v>
      </c>
      <c r="P96" s="11" t="s">
        <v>547</v>
      </c>
      <c r="Q96" s="6" t="s">
        <v>279</v>
      </c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5" t="s">
        <v>548</v>
      </c>
      <c r="B97" s="5">
        <f t="shared" si="1"/>
        <v>96</v>
      </c>
      <c r="C97" s="8"/>
      <c r="D97" s="6"/>
      <c r="E97" s="7" t="str">
        <f t="shared" si="2"/>
        <v>Marijana Željeznov Kokalj  - Stroj</v>
      </c>
      <c r="F97" s="6" t="s">
        <v>543</v>
      </c>
      <c r="G97" s="6" t="s">
        <v>544</v>
      </c>
      <c r="H97" s="6" t="s">
        <v>545</v>
      </c>
      <c r="I97" s="8" t="str">
        <f>IFERROR(VLOOKUP(R[0]C[-3],'Author-Period'!C[-8]:C[-6],3,false), "unknown")</f>
        <v>#ERROR!</v>
      </c>
      <c r="J97" s="6" t="s">
        <v>468</v>
      </c>
      <c r="K97" s="6" t="s">
        <v>549</v>
      </c>
      <c r="L97" s="6" t="s">
        <v>470</v>
      </c>
      <c r="M97" s="9">
        <v>2452.0</v>
      </c>
      <c r="N97" s="10">
        <v>1931.0</v>
      </c>
      <c r="O97" s="10">
        <v>1931.0</v>
      </c>
      <c r="P97" s="11" t="s">
        <v>550</v>
      </c>
      <c r="Q97" s="6" t="s">
        <v>279</v>
      </c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5" t="s">
        <v>551</v>
      </c>
      <c r="B98" s="5">
        <f t="shared" si="1"/>
        <v>97</v>
      </c>
      <c r="C98" s="5" t="s">
        <v>514</v>
      </c>
      <c r="D98" s="6" t="s">
        <v>552</v>
      </c>
      <c r="E98" s="7" t="str">
        <f t="shared" si="2"/>
        <v>Matija Prelesnik  - Naš stari greh</v>
      </c>
      <c r="F98" s="6" t="str">
        <f t="shared" ref="F98:F108" si="5">G98&amp;" "&amp;H98</f>
        <v>Matija Prelesnik</v>
      </c>
      <c r="G98" s="6" t="s">
        <v>553</v>
      </c>
      <c r="H98" s="6" t="s">
        <v>554</v>
      </c>
      <c r="I98" s="8" t="str">
        <f>IFERROR(VLOOKUP(R[0]C[-3],'Author-Period'!C[-8]:C[-6],3,false), "unknown")</f>
        <v>#ERROR!</v>
      </c>
      <c r="J98" s="6" t="s">
        <v>22</v>
      </c>
      <c r="K98" s="6" t="s">
        <v>555</v>
      </c>
      <c r="L98" s="6" t="s">
        <v>24</v>
      </c>
      <c r="M98" s="9">
        <v>63617.0</v>
      </c>
      <c r="N98" s="10">
        <v>1903.0</v>
      </c>
      <c r="O98" s="10">
        <v>1903.0</v>
      </c>
      <c r="P98" s="6" t="s">
        <v>556</v>
      </c>
      <c r="Q98" s="11" t="s">
        <v>26</v>
      </c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5" t="s">
        <v>557</v>
      </c>
      <c r="B99" s="5">
        <f t="shared" si="1"/>
        <v>98</v>
      </c>
      <c r="C99" s="5" t="s">
        <v>517</v>
      </c>
      <c r="D99" s="6" t="s">
        <v>558</v>
      </c>
      <c r="E99" s="7" t="str">
        <f t="shared" si="2"/>
        <v>Matija Prelesnik  - Nesrečno zlato</v>
      </c>
      <c r="F99" s="6" t="str">
        <f t="shared" si="5"/>
        <v>Matija Prelesnik</v>
      </c>
      <c r="G99" s="6" t="s">
        <v>553</v>
      </c>
      <c r="H99" s="6" t="s">
        <v>554</v>
      </c>
      <c r="I99" s="8" t="str">
        <f>IFERROR(VLOOKUP(R[0]C[-3],'Author-Period'!C[-8]:C[-6],3,false), "unknown")</f>
        <v>#ERROR!</v>
      </c>
      <c r="J99" s="6" t="s">
        <v>22</v>
      </c>
      <c r="K99" s="6" t="s">
        <v>559</v>
      </c>
      <c r="L99" s="6" t="s">
        <v>24</v>
      </c>
      <c r="M99" s="9">
        <v>52421.0</v>
      </c>
      <c r="N99" s="10">
        <v>1902.0</v>
      </c>
      <c r="O99" s="10">
        <v>1902.0</v>
      </c>
      <c r="P99" s="6" t="s">
        <v>560</v>
      </c>
      <c r="Q99" s="11" t="s">
        <v>26</v>
      </c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5" t="s">
        <v>561</v>
      </c>
      <c r="B100" s="5">
        <f t="shared" si="1"/>
        <v>99</v>
      </c>
      <c r="C100" s="5" t="s">
        <v>562</v>
      </c>
      <c r="D100" s="6" t="s">
        <v>563</v>
      </c>
      <c r="E100" s="7" t="str">
        <f t="shared" si="2"/>
        <v>Matija Prelesnik  - V smrtni senci</v>
      </c>
      <c r="F100" s="6" t="str">
        <f t="shared" si="5"/>
        <v>Matija Prelesnik</v>
      </c>
      <c r="G100" s="6" t="s">
        <v>553</v>
      </c>
      <c r="H100" s="6" t="s">
        <v>554</v>
      </c>
      <c r="I100" s="8" t="str">
        <f>IFERROR(VLOOKUP(R[0]C[-3],'Author-Period'!C[-8]:C[-6],3,false), "unknown")</f>
        <v>#ERROR!</v>
      </c>
      <c r="J100" s="6" t="s">
        <v>22</v>
      </c>
      <c r="K100" s="6" t="s">
        <v>564</v>
      </c>
      <c r="L100" s="6" t="s">
        <v>24</v>
      </c>
      <c r="M100" s="9">
        <v>71145.0</v>
      </c>
      <c r="N100" s="10">
        <v>1904.0</v>
      </c>
      <c r="O100" s="10">
        <v>1904.0</v>
      </c>
      <c r="P100" s="6" t="s">
        <v>565</v>
      </c>
      <c r="Q100" s="11" t="s">
        <v>26</v>
      </c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5" t="s">
        <v>566</v>
      </c>
      <c r="B101" s="5">
        <f t="shared" si="1"/>
        <v>100</v>
      </c>
      <c r="C101" s="5" t="s">
        <v>567</v>
      </c>
      <c r="D101" s="6" t="s">
        <v>568</v>
      </c>
      <c r="E101" s="7" t="str">
        <f t="shared" si="2"/>
        <v>Matija Rode  - Brat Justin</v>
      </c>
      <c r="F101" s="6" t="str">
        <f t="shared" si="5"/>
        <v>Matija Rode</v>
      </c>
      <c r="G101" s="6" t="s">
        <v>553</v>
      </c>
      <c r="H101" s="6" t="s">
        <v>569</v>
      </c>
      <c r="I101" s="8" t="str">
        <f>IFERROR(VLOOKUP(R[0]C[-3],'Author-Period'!C[-8]:C[-6],3,false), "unknown")</f>
        <v>#ERROR!</v>
      </c>
      <c r="J101" s="6" t="s">
        <v>22</v>
      </c>
      <c r="K101" s="6" t="s">
        <v>570</v>
      </c>
      <c r="L101" s="6" t="s">
        <v>24</v>
      </c>
      <c r="M101" s="9">
        <v>25591.0</v>
      </c>
      <c r="N101" s="10">
        <v>1905.0</v>
      </c>
      <c r="O101" s="10">
        <v>1905.0</v>
      </c>
      <c r="P101" s="6" t="s">
        <v>571</v>
      </c>
      <c r="Q101" s="11" t="s">
        <v>26</v>
      </c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5" t="s">
        <v>572</v>
      </c>
      <c r="B102" s="5">
        <f t="shared" si="1"/>
        <v>101</v>
      </c>
      <c r="C102" s="5" t="s">
        <v>573</v>
      </c>
      <c r="D102" s="6" t="s">
        <v>574</v>
      </c>
      <c r="E102" s="7" t="str">
        <f t="shared" si="2"/>
        <v>Matija Rode  - Prava in neprava ljubezen</v>
      </c>
      <c r="F102" s="6" t="str">
        <f t="shared" si="5"/>
        <v>Matija Rode</v>
      </c>
      <c r="G102" s="6" t="s">
        <v>553</v>
      </c>
      <c r="H102" s="6" t="s">
        <v>569</v>
      </c>
      <c r="I102" s="8" t="str">
        <f>IFERROR(VLOOKUP(R[0]C[-3],'Author-Period'!C[-8]:C[-6],3,false), "unknown")</f>
        <v>#ERROR!</v>
      </c>
      <c r="J102" s="6" t="s">
        <v>22</v>
      </c>
      <c r="K102" s="6" t="s">
        <v>575</v>
      </c>
      <c r="L102" s="6" t="s">
        <v>24</v>
      </c>
      <c r="M102" s="9">
        <v>56175.0</v>
      </c>
      <c r="N102" s="10">
        <v>1911.0</v>
      </c>
      <c r="O102" s="10">
        <v>1911.0</v>
      </c>
      <c r="P102" s="6" t="s">
        <v>576</v>
      </c>
      <c r="Q102" s="11" t="s">
        <v>26</v>
      </c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5" t="s">
        <v>577</v>
      </c>
      <c r="B103" s="5">
        <f t="shared" si="1"/>
        <v>102</v>
      </c>
      <c r="C103" s="5" t="s">
        <v>578</v>
      </c>
      <c r="D103" s="6" t="s">
        <v>579</v>
      </c>
      <c r="E103" s="7" t="str">
        <f t="shared" si="2"/>
        <v>Milan Pugelj  - Franc Koritnik in njegova družina</v>
      </c>
      <c r="F103" s="6" t="str">
        <f t="shared" si="5"/>
        <v>Milan Pugelj</v>
      </c>
      <c r="G103" s="6" t="s">
        <v>580</v>
      </c>
      <c r="H103" s="6" t="s">
        <v>581</v>
      </c>
      <c r="I103" s="8" t="str">
        <f>IFERROR(VLOOKUP(R[0]C[-3],'Author-Period'!C[-8]:C[-6],3,false), "unknown")</f>
        <v>#ERROR!</v>
      </c>
      <c r="J103" s="6" t="s">
        <v>22</v>
      </c>
      <c r="K103" s="6" t="s">
        <v>582</v>
      </c>
      <c r="L103" s="6" t="s">
        <v>24</v>
      </c>
      <c r="M103" s="9">
        <v>27831.0</v>
      </c>
      <c r="N103" s="10">
        <v>1906.0</v>
      </c>
      <c r="O103" s="10">
        <v>1906.0</v>
      </c>
      <c r="P103" s="6" t="s">
        <v>583</v>
      </c>
      <c r="Q103" s="11" t="s">
        <v>26</v>
      </c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5" t="s">
        <v>584</v>
      </c>
      <c r="B104" s="5">
        <f t="shared" si="1"/>
        <v>103</v>
      </c>
      <c r="C104" s="5" t="s">
        <v>561</v>
      </c>
      <c r="D104" s="6" t="s">
        <v>585</v>
      </c>
      <c r="E104" s="7" t="str">
        <f t="shared" si="2"/>
        <v>Miroslav Malovrh  - Ljubezen Končanove Klare</v>
      </c>
      <c r="F104" s="6" t="str">
        <f t="shared" si="5"/>
        <v>Miroslav Malovrh</v>
      </c>
      <c r="G104" s="6" t="s">
        <v>586</v>
      </c>
      <c r="H104" s="6" t="s">
        <v>587</v>
      </c>
      <c r="I104" s="8" t="str">
        <f>IFERROR(VLOOKUP(R[0]C[-3],'Author-Period'!C[-8]:C[-6],3,false), "unknown")</f>
        <v>#ERROR!</v>
      </c>
      <c r="J104" s="6" t="s">
        <v>22</v>
      </c>
      <c r="K104" s="6" t="s">
        <v>588</v>
      </c>
      <c r="L104" s="6" t="s">
        <v>24</v>
      </c>
      <c r="M104" s="9">
        <v>45781.0</v>
      </c>
      <c r="N104" s="10">
        <v>1910.0</v>
      </c>
      <c r="O104" s="10">
        <v>1910.0</v>
      </c>
      <c r="P104" s="6" t="s">
        <v>589</v>
      </c>
      <c r="Q104" s="11" t="s">
        <v>26</v>
      </c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5" t="s">
        <v>590</v>
      </c>
      <c r="B105" s="5">
        <f t="shared" si="1"/>
        <v>104</v>
      </c>
      <c r="C105" s="5" t="s">
        <v>591</v>
      </c>
      <c r="D105" s="6" t="s">
        <v>592</v>
      </c>
      <c r="E105" s="7" t="str">
        <f t="shared" si="2"/>
        <v>Miroslav Malovrh  - Skušnjave Tomaža Krmežljavčka</v>
      </c>
      <c r="F105" s="6" t="str">
        <f t="shared" si="5"/>
        <v>Miroslav Malovrh</v>
      </c>
      <c r="G105" s="6" t="s">
        <v>586</v>
      </c>
      <c r="H105" s="6" t="s">
        <v>587</v>
      </c>
      <c r="I105" s="8" t="str">
        <f>IFERROR(VLOOKUP(R[0]C[-3],'Author-Period'!C[-8]:C[-6],3,false), "unknown")</f>
        <v>#ERROR!</v>
      </c>
      <c r="J105" s="6" t="s">
        <v>22</v>
      </c>
      <c r="K105" s="6" t="s">
        <v>593</v>
      </c>
      <c r="L105" s="6" t="s">
        <v>24</v>
      </c>
      <c r="M105" s="9">
        <v>88693.0</v>
      </c>
      <c r="N105" s="10">
        <v>1911.0</v>
      </c>
      <c r="O105" s="10">
        <v>1911.0</v>
      </c>
      <c r="P105" s="6" t="s">
        <v>594</v>
      </c>
      <c r="Q105" s="11" t="s">
        <v>26</v>
      </c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5" t="s">
        <v>595</v>
      </c>
      <c r="B106" s="5">
        <f t="shared" si="1"/>
        <v>105</v>
      </c>
      <c r="C106" s="5" t="s">
        <v>596</v>
      </c>
      <c r="D106" s="6" t="s">
        <v>597</v>
      </c>
      <c r="E106" s="7" t="str">
        <f t="shared" si="2"/>
        <v>Miroslav Malovrh  - Zaljubljeni kapucin</v>
      </c>
      <c r="F106" s="6" t="str">
        <f t="shared" si="5"/>
        <v>Miroslav Malovrh</v>
      </c>
      <c r="G106" s="6" t="s">
        <v>586</v>
      </c>
      <c r="H106" s="6" t="s">
        <v>587</v>
      </c>
      <c r="I106" s="8" t="str">
        <f>IFERROR(VLOOKUP(R[0]C[-3],'Author-Period'!C[-8]:C[-6],3,false), "unknown")</f>
        <v>#ERROR!</v>
      </c>
      <c r="J106" s="6" t="s">
        <v>22</v>
      </c>
      <c r="K106" s="6" t="s">
        <v>598</v>
      </c>
      <c r="L106" s="6" t="s">
        <v>24</v>
      </c>
      <c r="M106" s="9">
        <v>32481.0</v>
      </c>
      <c r="N106" s="10">
        <v>1910.0</v>
      </c>
      <c r="O106" s="10">
        <v>1910.0</v>
      </c>
      <c r="P106" s="6" t="s">
        <v>599</v>
      </c>
      <c r="Q106" s="11" t="s">
        <v>26</v>
      </c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5" t="s">
        <v>78</v>
      </c>
      <c r="B107" s="5">
        <f t="shared" si="1"/>
        <v>106</v>
      </c>
      <c r="C107" s="5" t="s">
        <v>600</v>
      </c>
      <c r="D107" s="6" t="s">
        <v>601</v>
      </c>
      <c r="E107" s="7" t="str">
        <f t="shared" si="2"/>
        <v>Pavel Perko  - Rotijin Blaže</v>
      </c>
      <c r="F107" s="6" t="str">
        <f t="shared" si="5"/>
        <v>Pavel Perko</v>
      </c>
      <c r="G107" s="6" t="s">
        <v>602</v>
      </c>
      <c r="H107" s="6" t="s">
        <v>603</v>
      </c>
      <c r="I107" s="8" t="str">
        <f>IFERROR(VLOOKUP(R[0]C[-3],'Author-Period'!C[-8]:C[-6],3,false), "unknown")</f>
        <v>#ERROR!</v>
      </c>
      <c r="J107" s="6" t="s">
        <v>22</v>
      </c>
      <c r="K107" s="6" t="s">
        <v>604</v>
      </c>
      <c r="L107" s="6" t="s">
        <v>24</v>
      </c>
      <c r="M107" s="9">
        <v>27894.0</v>
      </c>
      <c r="N107" s="10">
        <v>1903.0</v>
      </c>
      <c r="O107" s="10">
        <v>1903.0</v>
      </c>
      <c r="P107" s="6" t="s">
        <v>605</v>
      </c>
      <c r="Q107" s="11" t="s">
        <v>26</v>
      </c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5" t="s">
        <v>600</v>
      </c>
      <c r="B108" s="5">
        <f t="shared" si="1"/>
        <v>107</v>
      </c>
      <c r="C108" s="5" t="s">
        <v>606</v>
      </c>
      <c r="D108" s="6" t="s">
        <v>607</v>
      </c>
      <c r="E108" s="7" t="str">
        <f t="shared" si="2"/>
        <v>Pavlina Pajk  - Arabela</v>
      </c>
      <c r="F108" s="6" t="str">
        <f t="shared" si="5"/>
        <v>Pavlina Pajk</v>
      </c>
      <c r="G108" s="6" t="s">
        <v>608</v>
      </c>
      <c r="H108" s="6" t="s">
        <v>609</v>
      </c>
      <c r="I108" s="8" t="str">
        <f>IFERROR(VLOOKUP(R[0]C[-3],'Author-Period'!C[-8]:C[-6],3,false), "unknown")</f>
        <v>#ERROR!</v>
      </c>
      <c r="J108" s="6" t="s">
        <v>468</v>
      </c>
      <c r="K108" s="6" t="s">
        <v>610</v>
      </c>
      <c r="L108" s="6" t="s">
        <v>24</v>
      </c>
      <c r="M108" s="9">
        <v>39059.0</v>
      </c>
      <c r="N108" s="10">
        <v>1885.0</v>
      </c>
      <c r="O108" s="10">
        <v>1885.0</v>
      </c>
      <c r="P108" s="6" t="s">
        <v>611</v>
      </c>
      <c r="Q108" s="11" t="s">
        <v>26</v>
      </c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5" t="s">
        <v>606</v>
      </c>
      <c r="B109" s="5">
        <f t="shared" si="1"/>
        <v>108</v>
      </c>
      <c r="C109" s="8"/>
      <c r="D109" s="6"/>
      <c r="E109" s="7" t="str">
        <f t="shared" si="2"/>
        <v>Pavlina Pajk  - Blagodejna zvezdica</v>
      </c>
      <c r="F109" s="6" t="s">
        <v>612</v>
      </c>
      <c r="G109" s="6" t="s">
        <v>608</v>
      </c>
      <c r="H109" s="6" t="s">
        <v>609</v>
      </c>
      <c r="I109" s="8" t="str">
        <f>IFERROR(VLOOKUP(R[0]C[-3],'Author-Period'!C[-8]:C[-6],3,false), "unknown")</f>
        <v>#ERROR!</v>
      </c>
      <c r="J109" s="6" t="s">
        <v>468</v>
      </c>
      <c r="K109" s="6" t="s">
        <v>613</v>
      </c>
      <c r="L109" s="6" t="s">
        <v>470</v>
      </c>
      <c r="M109" s="9">
        <v>14378.0</v>
      </c>
      <c r="N109" s="10">
        <v>1881.0</v>
      </c>
      <c r="O109" s="10">
        <v>1881.0</v>
      </c>
      <c r="P109" s="11" t="s">
        <v>614</v>
      </c>
      <c r="Q109" s="6" t="s">
        <v>279</v>
      </c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5" t="s">
        <v>615</v>
      </c>
      <c r="B110" s="5">
        <f t="shared" si="1"/>
        <v>109</v>
      </c>
      <c r="C110" s="5" t="s">
        <v>615</v>
      </c>
      <c r="D110" s="6" t="s">
        <v>616</v>
      </c>
      <c r="E110" s="7" t="str">
        <f t="shared" si="2"/>
        <v>Pavlina Pajk  - Dora</v>
      </c>
      <c r="F110" s="6" t="str">
        <f t="shared" ref="F110:F118" si="6">G110&amp;" "&amp;H110</f>
        <v>Pavlina Pajk</v>
      </c>
      <c r="G110" s="6" t="s">
        <v>608</v>
      </c>
      <c r="H110" s="6" t="s">
        <v>609</v>
      </c>
      <c r="I110" s="8" t="str">
        <f>IFERROR(VLOOKUP(R[0]C[-3],'Author-Period'!C[-8]:C[-6],3,false), "unknown")</f>
        <v>#ERROR!</v>
      </c>
      <c r="J110" s="6" t="s">
        <v>468</v>
      </c>
      <c r="K110" s="6" t="s">
        <v>617</v>
      </c>
      <c r="L110" s="6" t="s">
        <v>24</v>
      </c>
      <c r="M110" s="9">
        <v>30540.0</v>
      </c>
      <c r="N110" s="10">
        <v>1885.0</v>
      </c>
      <c r="O110" s="10">
        <v>1885.0</v>
      </c>
      <c r="P110" s="13" t="s">
        <v>618</v>
      </c>
      <c r="Q110" s="11" t="s">
        <v>26</v>
      </c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5" t="s">
        <v>619</v>
      </c>
      <c r="B111" s="5">
        <f t="shared" si="1"/>
        <v>110</v>
      </c>
      <c r="C111" s="5" t="s">
        <v>620</v>
      </c>
      <c r="D111" s="6" t="s">
        <v>621</v>
      </c>
      <c r="E111" s="7" t="str">
        <f t="shared" si="2"/>
        <v>Peter Bohinjec  - Jarem pregrehe</v>
      </c>
      <c r="F111" s="6" t="str">
        <f t="shared" si="6"/>
        <v>Peter Bohinjec</v>
      </c>
      <c r="G111" s="6" t="s">
        <v>622</v>
      </c>
      <c r="H111" s="6" t="s">
        <v>623</v>
      </c>
      <c r="I111" s="8" t="str">
        <f>IFERROR(VLOOKUP(R[0]C[-3],'Author-Period'!C[-8]:C[-6],3,false), "unknown")</f>
        <v>#ERROR!</v>
      </c>
      <c r="J111" s="6" t="s">
        <v>22</v>
      </c>
      <c r="K111" s="6" t="s">
        <v>624</v>
      </c>
      <c r="L111" s="6" t="s">
        <v>24</v>
      </c>
      <c r="M111" s="9">
        <v>27841.0</v>
      </c>
      <c r="N111" s="10">
        <v>1895.0</v>
      </c>
      <c r="O111" s="10">
        <v>1895.0</v>
      </c>
      <c r="P111" s="6" t="s">
        <v>625</v>
      </c>
      <c r="Q111" s="11" t="s">
        <v>26</v>
      </c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5" t="s">
        <v>206</v>
      </c>
      <c r="B112" s="5">
        <f t="shared" si="1"/>
        <v>111</v>
      </c>
      <c r="C112" s="5" t="s">
        <v>626</v>
      </c>
      <c r="D112" s="6" t="s">
        <v>627</v>
      </c>
      <c r="E112" s="7" t="str">
        <f t="shared" si="2"/>
        <v>Peter Bohinjec  - Svetobor</v>
      </c>
      <c r="F112" s="6" t="str">
        <f t="shared" si="6"/>
        <v>Peter Bohinjec</v>
      </c>
      <c r="G112" s="6" t="s">
        <v>622</v>
      </c>
      <c r="H112" s="6" t="s">
        <v>623</v>
      </c>
      <c r="I112" s="8" t="str">
        <f>IFERROR(VLOOKUP(R[0]C[-3],'Author-Period'!C[-8]:C[-6],3,false), "unknown")</f>
        <v>#ERROR!</v>
      </c>
      <c r="J112" s="6" t="s">
        <v>22</v>
      </c>
      <c r="K112" s="6" t="s">
        <v>628</v>
      </c>
      <c r="L112" s="6" t="s">
        <v>24</v>
      </c>
      <c r="M112" s="9">
        <v>57886.0</v>
      </c>
      <c r="N112" s="10">
        <v>1917.0</v>
      </c>
      <c r="O112" s="10">
        <v>1917.0</v>
      </c>
      <c r="P112" s="6" t="s">
        <v>629</v>
      </c>
      <c r="Q112" s="11" t="s">
        <v>26</v>
      </c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5" t="s">
        <v>630</v>
      </c>
      <c r="B113" s="5">
        <f t="shared" si="1"/>
        <v>112</v>
      </c>
      <c r="C113" s="5" t="s">
        <v>631</v>
      </c>
      <c r="D113" s="6" t="s">
        <v>632</v>
      </c>
      <c r="E113" s="7" t="str">
        <f t="shared" si="2"/>
        <v>Peter Bohinjec  - Za staro pravdo</v>
      </c>
      <c r="F113" s="6" t="str">
        <f t="shared" si="6"/>
        <v>Peter Bohinjec</v>
      </c>
      <c r="G113" s="6" t="s">
        <v>622</v>
      </c>
      <c r="H113" s="6" t="s">
        <v>623</v>
      </c>
      <c r="I113" s="8" t="str">
        <f>IFERROR(VLOOKUP(R[0]C[-3],'Author-Period'!C[-8]:C[-6],3,false), "unknown")</f>
        <v>#ERROR!</v>
      </c>
      <c r="J113" s="6" t="s">
        <v>22</v>
      </c>
      <c r="K113" s="6" t="s">
        <v>633</v>
      </c>
      <c r="L113" s="6" t="s">
        <v>24</v>
      </c>
      <c r="M113" s="9">
        <v>48999.0</v>
      </c>
      <c r="N113" s="10">
        <v>1901.0</v>
      </c>
      <c r="O113" s="10">
        <v>1901.0</v>
      </c>
      <c r="P113" s="6" t="s">
        <v>634</v>
      </c>
      <c r="Q113" s="11" t="s">
        <v>26</v>
      </c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5" t="s">
        <v>212</v>
      </c>
      <c r="B114" s="5">
        <f t="shared" si="1"/>
        <v>113</v>
      </c>
      <c r="C114" s="5" t="s">
        <v>635</v>
      </c>
      <c r="D114" s="6" t="s">
        <v>73</v>
      </c>
      <c r="E114" s="7" t="str">
        <f t="shared" si="2"/>
        <v>Prežihov Voranc  - Samorastniki</v>
      </c>
      <c r="F114" s="6" t="str">
        <f t="shared" si="6"/>
        <v>Prežihov Voranc</v>
      </c>
      <c r="G114" s="6" t="s">
        <v>636</v>
      </c>
      <c r="H114" s="6" t="s">
        <v>637</v>
      </c>
      <c r="I114" s="8" t="str">
        <f>IFERROR(VLOOKUP(R[0]C[-3],'Author-Period'!C[-8]:C[-6],3,false), "unknown")</f>
        <v>#ERROR!</v>
      </c>
      <c r="J114" s="6" t="s">
        <v>22</v>
      </c>
      <c r="K114" s="6" t="s">
        <v>638</v>
      </c>
      <c r="L114" s="6" t="s">
        <v>24</v>
      </c>
      <c r="M114" s="9">
        <v>12999.0</v>
      </c>
      <c r="N114" s="9">
        <v>1940.0</v>
      </c>
      <c r="O114" s="9">
        <v>1940.0</v>
      </c>
      <c r="P114" s="13" t="s">
        <v>639</v>
      </c>
      <c r="Q114" s="13" t="s">
        <v>640</v>
      </c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5" t="s">
        <v>641</v>
      </c>
      <c r="B115" s="5">
        <f t="shared" si="1"/>
        <v>114</v>
      </c>
      <c r="C115" s="5" t="s">
        <v>642</v>
      </c>
      <c r="D115" s="6" t="s">
        <v>643</v>
      </c>
      <c r="E115" s="7" t="str">
        <f t="shared" si="2"/>
        <v>Rado Murnik  - Groga in drugi</v>
      </c>
      <c r="F115" s="6" t="str">
        <f t="shared" si="6"/>
        <v>Rado Murnik</v>
      </c>
      <c r="G115" s="6" t="s">
        <v>644</v>
      </c>
      <c r="H115" s="6" t="s">
        <v>645</v>
      </c>
      <c r="I115" s="8" t="str">
        <f>IFERROR(VLOOKUP(R[0]C[-3],'Author-Period'!C[-8]:C[-6],3,false), "unknown")</f>
        <v>#ERROR!</v>
      </c>
      <c r="J115" s="6" t="s">
        <v>22</v>
      </c>
      <c r="K115" s="6" t="s">
        <v>646</v>
      </c>
      <c r="L115" s="6" t="s">
        <v>24</v>
      </c>
      <c r="M115" s="9">
        <v>68405.0</v>
      </c>
      <c r="N115" s="10">
        <v>1895.0</v>
      </c>
      <c r="O115" s="10">
        <v>1895.0</v>
      </c>
      <c r="P115" s="6" t="s">
        <v>647</v>
      </c>
      <c r="Q115" s="11" t="s">
        <v>26</v>
      </c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5" t="s">
        <v>635</v>
      </c>
      <c r="B116" s="5">
        <f t="shared" si="1"/>
        <v>115</v>
      </c>
      <c r="C116" s="5" t="s">
        <v>648</v>
      </c>
      <c r="D116" s="6" t="s">
        <v>649</v>
      </c>
      <c r="E116" s="7" t="str">
        <f t="shared" si="2"/>
        <v>Rado Murnik  - Hči grofa Blagaja</v>
      </c>
      <c r="F116" s="6" t="str">
        <f t="shared" si="6"/>
        <v>Rado Murnik</v>
      </c>
      <c r="G116" s="6" t="s">
        <v>644</v>
      </c>
      <c r="H116" s="6" t="s">
        <v>645</v>
      </c>
      <c r="I116" s="8" t="str">
        <f>IFERROR(VLOOKUP(R[0]C[-3],'Author-Period'!C[-8]:C[-6],3,false), "unknown")</f>
        <v>#ERROR!</v>
      </c>
      <c r="J116" s="6" t="s">
        <v>22</v>
      </c>
      <c r="K116" s="6" t="s">
        <v>650</v>
      </c>
      <c r="L116" s="6" t="s">
        <v>24</v>
      </c>
      <c r="M116" s="9">
        <v>112936.0</v>
      </c>
      <c r="N116" s="10">
        <v>1911.0</v>
      </c>
      <c r="O116" s="10">
        <v>1911.0</v>
      </c>
      <c r="P116" s="6" t="s">
        <v>651</v>
      </c>
      <c r="Q116" s="11" t="s">
        <v>26</v>
      </c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5" t="s">
        <v>648</v>
      </c>
      <c r="B117" s="5">
        <f t="shared" si="1"/>
        <v>116</v>
      </c>
      <c r="C117" s="5" t="s">
        <v>652</v>
      </c>
      <c r="D117" s="6" t="s">
        <v>653</v>
      </c>
      <c r="E117" s="7" t="str">
        <f t="shared" si="2"/>
        <v>Rado Murnik  - Na Bledu</v>
      </c>
      <c r="F117" s="6" t="str">
        <f t="shared" si="6"/>
        <v>Rado Murnik</v>
      </c>
      <c r="G117" s="6" t="s">
        <v>644</v>
      </c>
      <c r="H117" s="6" t="s">
        <v>645</v>
      </c>
      <c r="I117" s="8" t="str">
        <f>IFERROR(VLOOKUP(R[0]C[-3],'Author-Period'!C[-8]:C[-6],3,false), "unknown")</f>
        <v>#ERROR!</v>
      </c>
      <c r="J117" s="6" t="s">
        <v>22</v>
      </c>
      <c r="K117" s="6" t="s">
        <v>654</v>
      </c>
      <c r="L117" s="6" t="s">
        <v>24</v>
      </c>
      <c r="M117" s="9">
        <v>34402.0</v>
      </c>
      <c r="N117" s="10">
        <v>1917.0</v>
      </c>
      <c r="O117" s="10">
        <v>1917.0</v>
      </c>
      <c r="P117" s="6" t="s">
        <v>655</v>
      </c>
      <c r="Q117" s="11" t="s">
        <v>26</v>
      </c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5" t="s">
        <v>656</v>
      </c>
      <c r="B118" s="5">
        <f t="shared" si="1"/>
        <v>117</v>
      </c>
      <c r="C118" s="5" t="s">
        <v>657</v>
      </c>
      <c r="D118" s="6" t="s">
        <v>658</v>
      </c>
      <c r="E118" s="7" t="str">
        <f t="shared" si="2"/>
        <v>Rajko Perušek  - Mara Rendića</v>
      </c>
      <c r="F118" s="6" t="str">
        <f t="shared" si="6"/>
        <v>Rajko Perušek</v>
      </c>
      <c r="G118" s="6" t="s">
        <v>659</v>
      </c>
      <c r="H118" s="6" t="s">
        <v>660</v>
      </c>
      <c r="I118" s="8" t="str">
        <f>IFERROR(VLOOKUP(R[0]C[-3],'Author-Period'!C[-8]:C[-6],3,false), "unknown")</f>
        <v>#ERROR!</v>
      </c>
      <c r="J118" s="6" t="s">
        <v>22</v>
      </c>
      <c r="K118" s="6" t="s">
        <v>661</v>
      </c>
      <c r="L118" s="6" t="s">
        <v>24</v>
      </c>
      <c r="M118" s="9">
        <v>20985.0</v>
      </c>
      <c r="N118" s="10">
        <v>1897.0</v>
      </c>
      <c r="O118" s="10">
        <v>1897.0</v>
      </c>
      <c r="P118" s="6" t="s">
        <v>662</v>
      </c>
      <c r="Q118" s="11" t="s">
        <v>26</v>
      </c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5" t="s">
        <v>663</v>
      </c>
      <c r="B119" s="5">
        <f t="shared" si="1"/>
        <v>118</v>
      </c>
      <c r="C119" s="8"/>
      <c r="D119" s="6"/>
      <c r="E119" s="7" t="str">
        <f t="shared" si="2"/>
        <v>Rudolf Maister  - Zaradi škandala</v>
      </c>
      <c r="F119" s="6" t="s">
        <v>664</v>
      </c>
      <c r="G119" s="6" t="s">
        <v>665</v>
      </c>
      <c r="H119" s="6" t="s">
        <v>666</v>
      </c>
      <c r="I119" s="8" t="str">
        <f>IFERROR(VLOOKUP(R[0]C[-3],'Author-Period'!C[-8]:C[-6],3,false), "unknown")</f>
        <v>#ERROR!</v>
      </c>
      <c r="J119" s="6" t="s">
        <v>22</v>
      </c>
      <c r="K119" s="6" t="s">
        <v>667</v>
      </c>
      <c r="L119" s="6" t="s">
        <v>470</v>
      </c>
      <c r="M119" s="9">
        <v>2301.0</v>
      </c>
      <c r="N119" s="10">
        <v>1903.0</v>
      </c>
      <c r="O119" s="10">
        <v>1903.0</v>
      </c>
      <c r="P119" s="11" t="s">
        <v>668</v>
      </c>
      <c r="Q119" s="6" t="s">
        <v>279</v>
      </c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5" t="s">
        <v>669</v>
      </c>
      <c r="B120" s="5">
        <f t="shared" si="1"/>
        <v>119</v>
      </c>
      <c r="C120" s="8"/>
      <c r="D120" s="6"/>
      <c r="E120" s="7" t="str">
        <f t="shared" si="2"/>
        <v>Rudolf Maister  - Ženske</v>
      </c>
      <c r="F120" s="6" t="s">
        <v>664</v>
      </c>
      <c r="G120" s="6" t="s">
        <v>665</v>
      </c>
      <c r="H120" s="6" t="s">
        <v>666</v>
      </c>
      <c r="I120" s="8" t="str">
        <f>IFERROR(VLOOKUP(R[0]C[-3],'Author-Period'!C[-8]:C[-6],3,false), "unknown")</f>
        <v>#ERROR!</v>
      </c>
      <c r="J120" s="6" t="s">
        <v>22</v>
      </c>
      <c r="K120" s="6" t="s">
        <v>670</v>
      </c>
      <c r="L120" s="6" t="s">
        <v>470</v>
      </c>
      <c r="M120" s="9">
        <v>1830.0</v>
      </c>
      <c r="N120" s="9">
        <v>1904.0</v>
      </c>
      <c r="O120" s="9">
        <v>1904.0</v>
      </c>
      <c r="P120" s="11" t="s">
        <v>671</v>
      </c>
      <c r="Q120" s="6" t="s">
        <v>279</v>
      </c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5" t="s">
        <v>672</v>
      </c>
      <c r="B121" s="5">
        <f t="shared" si="1"/>
        <v>120</v>
      </c>
      <c r="C121" s="5" t="s">
        <v>663</v>
      </c>
      <c r="D121" s="6" t="s">
        <v>673</v>
      </c>
      <c r="E121" s="7" t="str">
        <f t="shared" si="2"/>
        <v>Silvester Košutnik  - Turki pred Dunajem</v>
      </c>
      <c r="F121" s="6" t="str">
        <f t="shared" ref="F121:F128" si="7">G121&amp;" "&amp;H121</f>
        <v>Silvester Košutnik</v>
      </c>
      <c r="G121" s="6" t="s">
        <v>674</v>
      </c>
      <c r="H121" s="6" t="s">
        <v>675</v>
      </c>
      <c r="I121" s="8" t="str">
        <f>IFERROR(VLOOKUP(R[0]C[-3],'Author-Period'!C[-8]:C[-6],3,false), "unknown")</f>
        <v>#ERROR!</v>
      </c>
      <c r="J121" s="6" t="s">
        <v>22</v>
      </c>
      <c r="K121" s="6" t="s">
        <v>676</v>
      </c>
      <c r="L121" s="6" t="s">
        <v>24</v>
      </c>
      <c r="M121" s="9">
        <v>24625.0</v>
      </c>
      <c r="N121" s="10">
        <v>1911.0</v>
      </c>
      <c r="O121" s="10">
        <v>1911.0</v>
      </c>
      <c r="P121" s="6" t="s">
        <v>677</v>
      </c>
      <c r="Q121" s="11" t="s">
        <v>26</v>
      </c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5" t="s">
        <v>678</v>
      </c>
      <c r="B122" s="5">
        <f t="shared" si="1"/>
        <v>121</v>
      </c>
      <c r="C122" s="5" t="s">
        <v>672</v>
      </c>
      <c r="D122" s="6" t="s">
        <v>679</v>
      </c>
      <c r="E122" s="7" t="str">
        <f t="shared" si="2"/>
        <v>Valentin Bernik  - Iz burkaste preteklosti Mihe Gorenjskega</v>
      </c>
      <c r="F122" s="6" t="str">
        <f t="shared" si="7"/>
        <v>Valentin Bernik</v>
      </c>
      <c r="G122" s="6" t="s">
        <v>680</v>
      </c>
      <c r="H122" s="6" t="s">
        <v>681</v>
      </c>
      <c r="I122" s="8" t="str">
        <f>IFERROR(VLOOKUP(R[0]C[-3],'Author-Period'!C[-8]:C[-6],3,false), "unknown")</f>
        <v>#ERROR!</v>
      </c>
      <c r="J122" s="6" t="s">
        <v>22</v>
      </c>
      <c r="K122" s="6" t="s">
        <v>682</v>
      </c>
      <c r="L122" s="6" t="s">
        <v>24</v>
      </c>
      <c r="M122" s="9">
        <v>23033.0</v>
      </c>
      <c r="N122" s="10">
        <v>1888.0</v>
      </c>
      <c r="O122" s="10">
        <v>1888.0</v>
      </c>
      <c r="P122" s="6" t="s">
        <v>683</v>
      </c>
      <c r="Q122" s="11" t="s">
        <v>26</v>
      </c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5" t="s">
        <v>684</v>
      </c>
      <c r="B123" s="5">
        <f t="shared" si="1"/>
        <v>122</v>
      </c>
      <c r="C123" s="5" t="s">
        <v>678</v>
      </c>
      <c r="D123" s="6" t="s">
        <v>685</v>
      </c>
      <c r="E123" s="7" t="str">
        <f t="shared" si="2"/>
        <v>Vatroslav Holc  - Idealist</v>
      </c>
      <c r="F123" s="6" t="str">
        <f t="shared" si="7"/>
        <v>Vatroslav Holc</v>
      </c>
      <c r="G123" s="6" t="s">
        <v>686</v>
      </c>
      <c r="H123" s="6" t="s">
        <v>687</v>
      </c>
      <c r="I123" s="8" t="str">
        <f>IFERROR(VLOOKUP(R[0]C[-3],'Author-Period'!C[-8]:C[-6],3,false), "unknown")</f>
        <v>#ERROR!</v>
      </c>
      <c r="J123" s="6" t="s">
        <v>22</v>
      </c>
      <c r="K123" s="6" t="s">
        <v>688</v>
      </c>
      <c r="L123" s="6" t="s">
        <v>24</v>
      </c>
      <c r="M123" s="9">
        <v>19425.0</v>
      </c>
      <c r="N123" s="10">
        <v>1876.0</v>
      </c>
      <c r="O123" s="10">
        <v>1876.0</v>
      </c>
      <c r="P123" s="6" t="s">
        <v>689</v>
      </c>
      <c r="Q123" s="11" t="s">
        <v>26</v>
      </c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5" t="s">
        <v>690</v>
      </c>
      <c r="B124" s="5">
        <f t="shared" si="1"/>
        <v>123</v>
      </c>
      <c r="C124" s="5" t="s">
        <v>684</v>
      </c>
      <c r="D124" s="6" t="s">
        <v>691</v>
      </c>
      <c r="E124" s="7" t="str">
        <f t="shared" si="2"/>
        <v>Vitomir Jelenc  - Žena</v>
      </c>
      <c r="F124" s="6" t="str">
        <f t="shared" si="7"/>
        <v>Vitomir Jelenc</v>
      </c>
      <c r="G124" s="6" t="s">
        <v>692</v>
      </c>
      <c r="H124" s="6" t="s">
        <v>693</v>
      </c>
      <c r="I124" s="8" t="str">
        <f>IFERROR(VLOOKUP(R[0]C[-3],'Author-Period'!C[-8]:C[-6],3,false), "unknown")</f>
        <v>#ERROR!</v>
      </c>
      <c r="J124" s="6" t="s">
        <v>22</v>
      </c>
      <c r="K124" s="6" t="s">
        <v>694</v>
      </c>
      <c r="L124" s="6" t="s">
        <v>24</v>
      </c>
      <c r="M124" s="9">
        <v>37968.0</v>
      </c>
      <c r="N124" s="10">
        <v>1910.0</v>
      </c>
      <c r="O124" s="10">
        <v>1910.0</v>
      </c>
      <c r="P124" s="6" t="s">
        <v>695</v>
      </c>
      <c r="Q124" s="11" t="s">
        <v>26</v>
      </c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5" t="s">
        <v>696</v>
      </c>
      <c r="B125" s="5">
        <f t="shared" si="1"/>
        <v>124</v>
      </c>
      <c r="C125" s="5" t="s">
        <v>697</v>
      </c>
      <c r="D125" s="6" t="s">
        <v>698</v>
      </c>
      <c r="E125" s="7" t="str">
        <f t="shared" si="2"/>
        <v>Vladimir Levstik  - Gadje gnezdo</v>
      </c>
      <c r="F125" s="6" t="str">
        <f t="shared" si="7"/>
        <v>Vladimir Levstik</v>
      </c>
      <c r="G125" s="6" t="s">
        <v>699</v>
      </c>
      <c r="H125" s="6" t="s">
        <v>700</v>
      </c>
      <c r="I125" s="8" t="str">
        <f>IFERROR(VLOOKUP(R[0]C[-3],'Author-Period'!C[-8]:C[-6],3,false), "unknown")</f>
        <v>#ERROR!</v>
      </c>
      <c r="J125" s="6" t="s">
        <v>22</v>
      </c>
      <c r="K125" s="6" t="s">
        <v>701</v>
      </c>
      <c r="L125" s="6" t="s">
        <v>24</v>
      </c>
      <c r="M125" s="9">
        <v>38470.0</v>
      </c>
      <c r="N125" s="10">
        <v>1918.0</v>
      </c>
      <c r="O125" s="10">
        <v>1918.0</v>
      </c>
      <c r="P125" s="6" t="s">
        <v>702</v>
      </c>
      <c r="Q125" s="11" t="s">
        <v>26</v>
      </c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5" t="s">
        <v>703</v>
      </c>
      <c r="B126" s="5">
        <f t="shared" si="1"/>
        <v>125</v>
      </c>
      <c r="C126" s="5" t="s">
        <v>696</v>
      </c>
      <c r="D126" s="6" t="s">
        <v>704</v>
      </c>
      <c r="E126" s="7" t="str">
        <f t="shared" si="2"/>
        <v>Vladimir Levstik  - V Babilonu svobode</v>
      </c>
      <c r="F126" s="6" t="str">
        <f t="shared" si="7"/>
        <v>Vladimir Levstik</v>
      </c>
      <c r="G126" s="6" t="s">
        <v>699</v>
      </c>
      <c r="H126" s="6" t="s">
        <v>700</v>
      </c>
      <c r="I126" s="8" t="str">
        <f>IFERROR(VLOOKUP(R[0]C[-3],'Author-Period'!C[-8]:C[-6],3,false), "unknown")</f>
        <v>#ERROR!</v>
      </c>
      <c r="J126" s="6" t="s">
        <v>22</v>
      </c>
      <c r="K126" s="6" t="s">
        <v>705</v>
      </c>
      <c r="L126" s="6" t="s">
        <v>24</v>
      </c>
      <c r="M126" s="9">
        <v>20123.0</v>
      </c>
      <c r="N126" s="10">
        <v>1907.0</v>
      </c>
      <c r="O126" s="10">
        <v>1907.0</v>
      </c>
      <c r="P126" s="6" t="s">
        <v>706</v>
      </c>
      <c r="Q126" s="11" t="s">
        <v>26</v>
      </c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5" t="s">
        <v>707</v>
      </c>
      <c r="B127" s="5">
        <f t="shared" si="1"/>
        <v>126</v>
      </c>
      <c r="C127" s="5" t="s">
        <v>703</v>
      </c>
      <c r="D127" s="6" t="s">
        <v>708</v>
      </c>
      <c r="E127" s="7" t="str">
        <f t="shared" si="2"/>
        <v>Vladimir Levstik  - Za svobodo in ljubezen</v>
      </c>
      <c r="F127" s="6" t="str">
        <f t="shared" si="7"/>
        <v>Vladimir Levstik</v>
      </c>
      <c r="G127" s="6" t="s">
        <v>699</v>
      </c>
      <c r="H127" s="6" t="s">
        <v>700</v>
      </c>
      <c r="I127" s="8" t="str">
        <f>IFERROR(VLOOKUP(R[0]C[-3],'Author-Period'!C[-8]:C[-6],3,false), "unknown")</f>
        <v>#ERROR!</v>
      </c>
      <c r="J127" s="6" t="s">
        <v>22</v>
      </c>
      <c r="K127" s="6" t="s">
        <v>709</v>
      </c>
      <c r="L127" s="6" t="s">
        <v>24</v>
      </c>
      <c r="M127" s="9">
        <v>126242.0</v>
      </c>
      <c r="N127" s="10">
        <v>1913.0</v>
      </c>
      <c r="O127" s="10">
        <v>1913.0</v>
      </c>
      <c r="P127" s="6" t="s">
        <v>710</v>
      </c>
      <c r="Q127" s="11" t="s">
        <v>26</v>
      </c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5" t="s">
        <v>711</v>
      </c>
      <c r="B128" s="5">
        <f t="shared" si="1"/>
        <v>127</v>
      </c>
      <c r="C128" s="8"/>
      <c r="D128" s="6"/>
      <c r="E128" s="7" t="str">
        <f t="shared" si="2"/>
        <v>Vladimir Levstik  - Zapiski Tine Gramontove</v>
      </c>
      <c r="F128" s="6" t="str">
        <f t="shared" si="7"/>
        <v>Vladimir Levstik</v>
      </c>
      <c r="G128" s="6" t="s">
        <v>699</v>
      </c>
      <c r="H128" s="6" t="s">
        <v>700</v>
      </c>
      <c r="I128" s="8" t="str">
        <f>IFERROR(VLOOKUP(R[0]C[-3],'Author-Period'!C[-8]:C[-6],3,false), "unknown")</f>
        <v>#ERROR!</v>
      </c>
      <c r="J128" s="6" t="s">
        <v>22</v>
      </c>
      <c r="K128" s="6" t="s">
        <v>712</v>
      </c>
      <c r="L128" s="6" t="s">
        <v>277</v>
      </c>
      <c r="M128" s="9">
        <v>48687.0</v>
      </c>
      <c r="N128" s="10">
        <v>1919.0</v>
      </c>
      <c r="O128" s="10">
        <v>1919.0</v>
      </c>
      <c r="P128" s="11" t="s">
        <v>713</v>
      </c>
      <c r="Q128" s="6" t="s">
        <v>279</v>
      </c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5" t="s">
        <v>714</v>
      </c>
      <c r="B129" s="5">
        <f t="shared" si="1"/>
        <v>128</v>
      </c>
      <c r="C129" s="8"/>
      <c r="D129" s="6"/>
      <c r="E129" s="7" t="str">
        <f t="shared" si="2"/>
        <v>Zofka Kveder  - Misterij žene</v>
      </c>
      <c r="F129" s="6" t="s">
        <v>715</v>
      </c>
      <c r="G129" s="6" t="s">
        <v>716</v>
      </c>
      <c r="H129" s="6" t="s">
        <v>717</v>
      </c>
      <c r="I129" s="8" t="str">
        <f>IFERROR(VLOOKUP(R[0]C[-3],'Author-Period'!C[-8]:C[-6],3,false), "unknown")</f>
        <v>#ERROR!</v>
      </c>
      <c r="J129" s="6" t="s">
        <v>468</v>
      </c>
      <c r="K129" s="6" t="s">
        <v>718</v>
      </c>
      <c r="L129" s="15" t="s">
        <v>532</v>
      </c>
      <c r="M129" s="9">
        <v>7326.0</v>
      </c>
      <c r="N129" s="10">
        <v>1900.0</v>
      </c>
      <c r="O129" s="10">
        <v>1900.0</v>
      </c>
      <c r="P129" s="11" t="s">
        <v>719</v>
      </c>
      <c r="Q129" s="6" t="s">
        <v>279</v>
      </c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5" t="s">
        <v>720</v>
      </c>
      <c r="B130" s="5">
        <f t="shared" si="1"/>
        <v>129</v>
      </c>
      <c r="C130" s="5" t="s">
        <v>721</v>
      </c>
      <c r="D130" s="6" t="s">
        <v>722</v>
      </c>
      <c r="E130" s="7" t="str">
        <f t="shared" si="2"/>
        <v>Zofka Kveder  - Nada</v>
      </c>
      <c r="F130" s="6" t="str">
        <f t="shared" ref="F130:F131" si="8">G130&amp;" "&amp;H130</f>
        <v>Zofka Kveder</v>
      </c>
      <c r="G130" s="6" t="s">
        <v>716</v>
      </c>
      <c r="H130" s="6" t="s">
        <v>717</v>
      </c>
      <c r="I130" s="8" t="str">
        <f>IFERROR(VLOOKUP(R[0]C[-3],'Author-Period'!C[-8]:C[-6],3,false), "unknown")</f>
        <v>#ERROR!</v>
      </c>
      <c r="J130" s="6" t="s">
        <v>468</v>
      </c>
      <c r="K130" s="6" t="s">
        <v>723</v>
      </c>
      <c r="L130" s="6" t="s">
        <v>24</v>
      </c>
      <c r="M130" s="9">
        <v>42113.0</v>
      </c>
      <c r="N130" s="10">
        <v>1904.0</v>
      </c>
      <c r="O130" s="10">
        <v>1904.0</v>
      </c>
      <c r="P130" s="6" t="s">
        <v>724</v>
      </c>
      <c r="Q130" s="11" t="s">
        <v>26</v>
      </c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5" t="s">
        <v>725</v>
      </c>
      <c r="B131" s="5">
        <f t="shared" si="1"/>
        <v>130</v>
      </c>
      <c r="C131" s="5" t="s">
        <v>714</v>
      </c>
      <c r="D131" s="6" t="s">
        <v>726</v>
      </c>
      <c r="E131" s="7" t="str">
        <f t="shared" si="2"/>
        <v>Zofka Kveder  - Njeno življenje</v>
      </c>
      <c r="F131" s="6" t="str">
        <f t="shared" si="8"/>
        <v>Zofka Kveder</v>
      </c>
      <c r="G131" s="6" t="s">
        <v>716</v>
      </c>
      <c r="H131" s="6" t="s">
        <v>717</v>
      </c>
      <c r="I131" s="8" t="str">
        <f>IFERROR(VLOOKUP(R[0]C[-3],'Author-Period'!C[-8]:C[-6],3,false), "unknown")</f>
        <v>#ERROR!</v>
      </c>
      <c r="J131" s="6" t="s">
        <v>468</v>
      </c>
      <c r="K131" s="6" t="s">
        <v>727</v>
      </c>
      <c r="L131" s="6" t="s">
        <v>24</v>
      </c>
      <c r="M131" s="9">
        <v>58749.0</v>
      </c>
      <c r="N131" s="10">
        <v>1914.0</v>
      </c>
      <c r="O131" s="10">
        <v>1914.0</v>
      </c>
      <c r="P131" s="6" t="s">
        <v>728</v>
      </c>
      <c r="Q131" s="11" t="s">
        <v>26</v>
      </c>
      <c r="R131" s="12"/>
      <c r="S131" s="12"/>
      <c r="T131" s="12"/>
      <c r="U131" s="12"/>
      <c r="V131" s="12"/>
      <c r="W131" s="12"/>
      <c r="X131" s="12"/>
      <c r="Y131" s="12"/>
      <c r="Z131" s="12"/>
    </row>
  </sheetData>
  <dataValidations>
    <dataValidation type="list" allowBlank="1" showErrorMessage="1" sqref="L2:L131">
      <formula1>"Yes, exclude,No, keep,Add import,TBD"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P8"/>
    <hyperlink r:id="rId8" ref="Q8"/>
    <hyperlink r:id="rId9" ref="Q9"/>
    <hyperlink r:id="rId10" ref="P10"/>
    <hyperlink r:id="rId11" ref="Q10"/>
    <hyperlink r:id="rId12" ref="Q11"/>
    <hyperlink r:id="rId13" ref="Q12"/>
    <hyperlink r:id="rId14" ref="Q13"/>
    <hyperlink r:id="rId15" ref="Q14"/>
    <hyperlink r:id="rId16" ref="Q15"/>
    <hyperlink r:id="rId17" ref="Q16"/>
    <hyperlink r:id="rId18" ref="Q17"/>
    <hyperlink r:id="rId19" ref="Q18"/>
    <hyperlink r:id="rId20" ref="Q19"/>
    <hyperlink r:id="rId21" ref="Q20"/>
    <hyperlink r:id="rId22" ref="Q21"/>
    <hyperlink r:id="rId23" ref="Q22"/>
    <hyperlink r:id="rId24" ref="Q23"/>
    <hyperlink r:id="rId25" ref="Q24"/>
    <hyperlink r:id="rId26" ref="Q25"/>
    <hyperlink r:id="rId27" ref="Q26"/>
    <hyperlink r:id="rId28" ref="Q27"/>
    <hyperlink r:id="rId29" ref="Q28"/>
    <hyperlink r:id="rId30" ref="Q29"/>
    <hyperlink r:id="rId31" ref="Q30"/>
    <hyperlink r:id="rId32" ref="Q31"/>
    <hyperlink r:id="rId33" ref="Q32"/>
    <hyperlink r:id="rId34" ref="Q33"/>
    <hyperlink r:id="rId35" ref="Q34"/>
    <hyperlink r:id="rId36" ref="Q35"/>
    <hyperlink r:id="rId37" ref="Q36"/>
    <hyperlink r:id="rId38" ref="Q37"/>
    <hyperlink r:id="rId39" ref="Q38"/>
    <hyperlink r:id="rId40" ref="Q39"/>
    <hyperlink r:id="rId41" ref="Q40"/>
    <hyperlink r:id="rId42" ref="Q41"/>
    <hyperlink r:id="rId43" ref="Q42"/>
    <hyperlink r:id="rId44" ref="Q43"/>
    <hyperlink r:id="rId45" ref="P44"/>
    <hyperlink r:id="rId46" ref="P45"/>
    <hyperlink r:id="rId47" ref="Q46"/>
    <hyperlink r:id="rId48" ref="Q47"/>
    <hyperlink r:id="rId49" ref="P48"/>
    <hyperlink r:id="rId50" ref="Q48"/>
    <hyperlink r:id="rId51" ref="Q49"/>
    <hyperlink r:id="rId52" ref="Q50"/>
    <hyperlink r:id="rId53" ref="Q51"/>
    <hyperlink r:id="rId54" ref="Q52"/>
    <hyperlink r:id="rId55" ref="Q53"/>
    <hyperlink r:id="rId56" ref="Q54"/>
    <hyperlink r:id="rId57" ref="Q55"/>
    <hyperlink r:id="rId58" ref="P56"/>
    <hyperlink r:id="rId59" ref="Q57"/>
    <hyperlink r:id="rId60" ref="Q58"/>
    <hyperlink r:id="rId61" ref="Q59"/>
    <hyperlink r:id="rId62" ref="P60"/>
    <hyperlink r:id="rId63" ref="Q61"/>
    <hyperlink r:id="rId64" ref="Q62"/>
    <hyperlink r:id="rId65" ref="Q63"/>
    <hyperlink r:id="rId66" ref="Q64"/>
    <hyperlink r:id="rId67" ref="Q65"/>
    <hyperlink r:id="rId68" ref="P66"/>
    <hyperlink r:id="rId69" ref="Q67"/>
    <hyperlink r:id="rId70" ref="Q68"/>
    <hyperlink r:id="rId71" ref="Q69"/>
    <hyperlink r:id="rId72" ref="Q70"/>
    <hyperlink r:id="rId73" ref="P71"/>
    <hyperlink r:id="rId74" ref="Q71"/>
    <hyperlink r:id="rId75" ref="Q72"/>
    <hyperlink r:id="rId76" ref="Q73"/>
    <hyperlink r:id="rId77" ref="Q74"/>
    <hyperlink r:id="rId78" ref="Q75"/>
    <hyperlink r:id="rId79" ref="Q76"/>
    <hyperlink r:id="rId80" ref="Q77"/>
    <hyperlink r:id="rId81" ref="P78"/>
    <hyperlink r:id="rId82" ref="Q78"/>
    <hyperlink r:id="rId83" ref="Q79"/>
    <hyperlink r:id="rId84" ref="P80"/>
    <hyperlink r:id="rId85" ref="P81"/>
    <hyperlink r:id="rId86" ref="P82"/>
    <hyperlink r:id="rId87" ref="Q83"/>
    <hyperlink r:id="rId88" ref="Q84"/>
    <hyperlink r:id="rId89" ref="Q85"/>
    <hyperlink r:id="rId90" ref="Q86"/>
    <hyperlink r:id="rId91" ref="Q87"/>
    <hyperlink r:id="rId92" ref="Q88"/>
    <hyperlink r:id="rId93" ref="P89"/>
    <hyperlink r:id="rId94" ref="P90"/>
    <hyperlink r:id="rId95" ref="Q91"/>
    <hyperlink r:id="rId96" ref="P92"/>
    <hyperlink r:id="rId97" ref="P93"/>
    <hyperlink r:id="rId98" ref="P94"/>
    <hyperlink r:id="rId99" ref="P95"/>
    <hyperlink r:id="rId100" ref="P96"/>
    <hyperlink r:id="rId101" ref="P97"/>
    <hyperlink r:id="rId102" ref="Q98"/>
    <hyperlink r:id="rId103" ref="Q99"/>
    <hyperlink r:id="rId104" ref="Q100"/>
    <hyperlink r:id="rId105" ref="Q101"/>
    <hyperlink r:id="rId106" ref="Q102"/>
    <hyperlink r:id="rId107" ref="Q103"/>
    <hyperlink r:id="rId108" ref="Q104"/>
    <hyperlink r:id="rId109" ref="Q105"/>
    <hyperlink r:id="rId110" ref="Q106"/>
    <hyperlink r:id="rId111" ref="Q107"/>
    <hyperlink r:id="rId112" ref="Q108"/>
    <hyperlink r:id="rId113" ref="P109"/>
    <hyperlink r:id="rId114" ref="P110"/>
    <hyperlink r:id="rId115" ref="Q110"/>
    <hyperlink r:id="rId116" ref="Q111"/>
    <hyperlink r:id="rId117" ref="Q112"/>
    <hyperlink r:id="rId118" ref="Q113"/>
    <hyperlink r:id="rId119" ref="P114"/>
    <hyperlink r:id="rId120" ref="Q114"/>
    <hyperlink r:id="rId121" ref="Q115"/>
    <hyperlink r:id="rId122" ref="Q116"/>
    <hyperlink r:id="rId123" ref="Q117"/>
    <hyperlink r:id="rId124" ref="Q118"/>
    <hyperlink r:id="rId125" ref="P119"/>
    <hyperlink r:id="rId126" ref="P120"/>
    <hyperlink r:id="rId127" ref="Q121"/>
    <hyperlink r:id="rId128" ref="Q122"/>
    <hyperlink r:id="rId129" ref="Q123"/>
    <hyperlink r:id="rId130" ref="Q124"/>
    <hyperlink r:id="rId131" ref="Q125"/>
    <hyperlink r:id="rId132" ref="Q126"/>
    <hyperlink r:id="rId133" ref="Q127"/>
    <hyperlink r:id="rId134" ref="P128"/>
    <hyperlink r:id="rId135" ref="P129"/>
    <hyperlink r:id="rId136" ref="Q130"/>
    <hyperlink r:id="rId137" ref="Q131"/>
  </hyperlinks>
  <drawing r:id="rId138"/>
</worksheet>
</file>